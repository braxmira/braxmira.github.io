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braxtonmira-knippel/Downloads/"/>
    </mc:Choice>
  </mc:AlternateContent>
  <xr:revisionPtr revIDLastSave="0" documentId="13_ncr:1_{20C61112-4D1F-884D-AD9C-415A5A3C4A76}" xr6:coauthVersionLast="47" xr6:coauthVersionMax="47" xr10:uidLastSave="{00000000-0000-0000-0000-000000000000}"/>
  <bookViews>
    <workbookView xWindow="0" yWindow="900" windowWidth="29240" windowHeight="17020" activeTab="7" xr2:uid="{75B706F4-B91C-C34F-B447-C9C538D9CF8C}"/>
  </bookViews>
  <sheets>
    <sheet name="2025" sheetId="2" r:id="rId1"/>
    <sheet name="2024" sheetId="1" r:id="rId2"/>
    <sheet name="2023" sheetId="3" r:id="rId3"/>
    <sheet name="2022" sheetId="4" r:id="rId4"/>
    <sheet name="2021" sheetId="5" r:id="rId5"/>
    <sheet name="2020" sheetId="6" r:id="rId6"/>
    <sheet name="2019" sheetId="7" r:id="rId7"/>
    <sheet name="All data" sheetId="12" r:id="rId8"/>
    <sheet name="Sheet13" sheetId="13" r:id="rId9"/>
  </sheets>
  <definedNames>
    <definedName name="_xlnm._FilterDatabase" localSheetId="6" hidden="1">'2019'!$A$1:$A$35</definedName>
    <definedName name="_xlnm._FilterDatabase" localSheetId="5" hidden="1">'2020'!$A$1:$F$31</definedName>
    <definedName name="_xlnm._FilterDatabase" localSheetId="4" hidden="1">'2021'!$A$1:$F$31</definedName>
    <definedName name="_xlnm._FilterDatabase" localSheetId="3" hidden="1">'2022'!$A$1:$F$31</definedName>
    <definedName name="_xlnm._FilterDatabase" localSheetId="2" hidden="1">'2023'!$A$1:$F$31</definedName>
    <definedName name="_xlnm._FilterDatabase" localSheetId="1" hidden="1">'2024'!$A$1:$F$31</definedName>
    <definedName name="_xlnm._FilterDatabase" localSheetId="0" hidden="1">'2025'!$A$1:$F$31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3" i="12" l="1"/>
  <c r="AF4" i="12"/>
  <c r="AF5" i="12"/>
  <c r="AF6" i="12"/>
  <c r="AF7" i="12"/>
  <c r="AF8" i="12"/>
  <c r="AF9" i="12"/>
  <c r="AF10" i="12"/>
  <c r="AF11" i="12"/>
  <c r="AF12" i="12"/>
  <c r="AF13" i="12"/>
  <c r="AF14" i="12"/>
  <c r="AF15" i="12"/>
  <c r="AF16" i="12"/>
  <c r="AF17" i="12"/>
  <c r="AF18" i="12"/>
  <c r="AF19" i="12"/>
  <c r="AF20" i="12"/>
  <c r="AF21" i="12"/>
  <c r="AF22" i="12"/>
  <c r="AF23" i="12"/>
  <c r="AF24" i="12"/>
  <c r="AF25" i="12"/>
  <c r="AF26" i="12"/>
  <c r="AF27" i="12"/>
  <c r="AF28" i="12"/>
  <c r="AF29" i="12"/>
  <c r="AF30" i="12"/>
  <c r="AF31" i="12"/>
  <c r="AF2" i="12"/>
  <c r="AE2" i="12"/>
  <c r="AE3" i="12"/>
  <c r="AE4" i="12"/>
  <c r="AE5" i="12"/>
  <c r="AE6" i="12"/>
  <c r="AE7" i="12"/>
  <c r="AE8" i="12"/>
  <c r="AE9" i="12"/>
  <c r="AE10" i="12"/>
  <c r="AE11" i="12"/>
  <c r="AE12" i="12"/>
  <c r="AE13" i="12"/>
  <c r="AE14" i="12"/>
  <c r="AE15" i="12"/>
  <c r="AE16" i="12"/>
  <c r="AE17" i="12"/>
  <c r="AE18" i="12"/>
  <c r="AE19" i="12"/>
  <c r="AE20" i="12"/>
  <c r="AE21" i="12"/>
  <c r="AE22" i="12"/>
  <c r="AE23" i="12"/>
  <c r="AE24" i="12"/>
  <c r="AE25" i="12"/>
  <c r="AE26" i="12"/>
  <c r="AE27" i="12"/>
  <c r="AE28" i="12"/>
  <c r="AE29" i="12"/>
  <c r="AE30" i="12"/>
  <c r="AE31" i="12"/>
  <c r="J50" i="13"/>
  <c r="J49" i="13"/>
  <c r="J48" i="13"/>
  <c r="J47" i="13"/>
  <c r="J46" i="13"/>
  <c r="J45" i="13"/>
  <c r="J44" i="13"/>
  <c r="J43" i="13"/>
  <c r="J42" i="13"/>
  <c r="J41" i="13"/>
  <c r="J40" i="13"/>
  <c r="J39" i="13"/>
  <c r="J38" i="13"/>
  <c r="J37" i="13"/>
  <c r="J36" i="13"/>
  <c r="J35" i="13"/>
  <c r="J34" i="13"/>
  <c r="J33" i="13"/>
  <c r="J32" i="13"/>
  <c r="J31" i="13"/>
  <c r="J30" i="13"/>
  <c r="J29" i="13"/>
  <c r="J28" i="13"/>
  <c r="J27" i="13"/>
  <c r="J26" i="13"/>
  <c r="J25" i="13"/>
  <c r="J24" i="13"/>
  <c r="J23" i="13"/>
  <c r="J22" i="13"/>
  <c r="J21" i="13"/>
  <c r="F34" i="1"/>
  <c r="G34" i="1"/>
  <c r="G5" i="1"/>
  <c r="G7" i="1"/>
  <c r="G14" i="1"/>
  <c r="G15" i="1"/>
  <c r="G16" i="1"/>
  <c r="G22" i="1"/>
  <c r="G23" i="1"/>
  <c r="G24" i="1"/>
  <c r="G29" i="1"/>
  <c r="G2" i="1"/>
  <c r="S3" i="12"/>
  <c r="S4" i="12"/>
  <c r="S5" i="12"/>
  <c r="S6" i="12"/>
  <c r="S7" i="12"/>
  <c r="S8" i="12"/>
  <c r="S9" i="12"/>
  <c r="S10" i="12"/>
  <c r="S11" i="12"/>
  <c r="S12" i="12"/>
  <c r="S13" i="12"/>
  <c r="S14" i="12"/>
  <c r="S15" i="12"/>
  <c r="S16" i="12"/>
  <c r="S17" i="12"/>
  <c r="S18" i="12"/>
  <c r="S19" i="12"/>
  <c r="S20" i="12"/>
  <c r="S21" i="12"/>
  <c r="S22" i="12"/>
  <c r="S23" i="12"/>
  <c r="S24" i="12"/>
  <c r="S25" i="12"/>
  <c r="S26" i="12"/>
  <c r="S27" i="12"/>
  <c r="S28" i="12"/>
  <c r="S29" i="12"/>
  <c r="S30" i="12"/>
  <c r="S31" i="12"/>
  <c r="S2" i="12"/>
  <c r="N25" i="2"/>
  <c r="N23" i="2"/>
  <c r="G6" i="12"/>
  <c r="G7" i="12"/>
  <c r="G8" i="12"/>
  <c r="F3" i="12"/>
  <c r="F4" i="12"/>
  <c r="F5" i="12"/>
  <c r="F6" i="12"/>
  <c r="F7" i="12"/>
  <c r="F8" i="12"/>
  <c r="F2" i="12"/>
  <c r="E8" i="12"/>
  <c r="E3" i="12"/>
  <c r="G3" i="12" s="1"/>
  <c r="E4" i="12"/>
  <c r="G4" i="12" s="1"/>
  <c r="E5" i="12"/>
  <c r="G5" i="12" s="1"/>
  <c r="E6" i="12"/>
  <c r="E7" i="12"/>
  <c r="E2" i="12"/>
  <c r="G2" i="12" s="1"/>
  <c r="E34" i="7"/>
  <c r="F34" i="7" s="1"/>
  <c r="E25" i="7"/>
  <c r="F25" i="7" s="1"/>
  <c r="E5" i="7"/>
  <c r="F5" i="7" s="1"/>
  <c r="E24" i="7"/>
  <c r="F24" i="7" s="1"/>
  <c r="E6" i="7"/>
  <c r="F6" i="7" s="1"/>
  <c r="E17" i="7"/>
  <c r="F17" i="7" s="1"/>
  <c r="E21" i="7"/>
  <c r="F21" i="7" s="1"/>
  <c r="E15" i="7"/>
  <c r="F15" i="7" s="1"/>
  <c r="E18" i="7"/>
  <c r="F18" i="7" s="1"/>
  <c r="E29" i="7"/>
  <c r="F29" i="7" s="1"/>
  <c r="E32" i="7"/>
  <c r="F32" i="7" s="1"/>
  <c r="E13" i="7"/>
  <c r="F13" i="7" s="1"/>
  <c r="E33" i="7"/>
  <c r="F33" i="7" s="1"/>
  <c r="E28" i="7"/>
  <c r="F28" i="7" s="1"/>
  <c r="E9" i="7"/>
  <c r="F9" i="7" s="1"/>
  <c r="E26" i="7"/>
  <c r="F26" i="7" s="1"/>
  <c r="E7" i="7"/>
  <c r="F7" i="7" s="1"/>
  <c r="E22" i="7"/>
  <c r="F22" i="7" s="1"/>
  <c r="E8" i="7"/>
  <c r="F8" i="7" s="1"/>
  <c r="E2" i="7"/>
  <c r="F2" i="7" s="1"/>
  <c r="E4" i="7"/>
  <c r="F4" i="7" s="1"/>
  <c r="E3" i="7"/>
  <c r="F3" i="7" s="1"/>
  <c r="E14" i="7"/>
  <c r="F14" i="7" s="1"/>
  <c r="E23" i="7"/>
  <c r="F23" i="7" s="1"/>
  <c r="E11" i="7"/>
  <c r="F11" i="7" s="1"/>
  <c r="E10" i="7"/>
  <c r="F10" i="7" s="1"/>
  <c r="E20" i="7"/>
  <c r="F20" i="7" s="1"/>
  <c r="E27" i="7"/>
  <c r="F27" i="7" s="1"/>
  <c r="E12" i="7"/>
  <c r="F12" i="7" s="1"/>
  <c r="E19" i="7"/>
  <c r="F19" i="7" s="1"/>
  <c r="F19" i="6"/>
  <c r="F22" i="6"/>
  <c r="F18" i="6"/>
  <c r="F21" i="6"/>
  <c r="F31" i="6"/>
  <c r="E11" i="6"/>
  <c r="F11" i="6" s="1"/>
  <c r="E3" i="6"/>
  <c r="F3" i="6" s="1"/>
  <c r="E9" i="6"/>
  <c r="F9" i="6" s="1"/>
  <c r="E20" i="6"/>
  <c r="F20" i="6" s="1"/>
  <c r="E17" i="6"/>
  <c r="F17" i="6" s="1"/>
  <c r="E2" i="6"/>
  <c r="F2" i="6" s="1"/>
  <c r="E24" i="6"/>
  <c r="F24" i="6" s="1"/>
  <c r="E16" i="6"/>
  <c r="F16" i="6" s="1"/>
  <c r="E8" i="6"/>
  <c r="F8" i="6" s="1"/>
  <c r="E6" i="6"/>
  <c r="F6" i="6" s="1"/>
  <c r="E19" i="6"/>
  <c r="E22" i="6"/>
  <c r="E25" i="6"/>
  <c r="F25" i="6" s="1"/>
  <c r="E26" i="6"/>
  <c r="F26" i="6" s="1"/>
  <c r="E12" i="6"/>
  <c r="F12" i="6" s="1"/>
  <c r="E30" i="6"/>
  <c r="F30" i="6" s="1"/>
  <c r="E29" i="6"/>
  <c r="F29" i="6" s="1"/>
  <c r="E5" i="6"/>
  <c r="F5" i="6" s="1"/>
  <c r="E10" i="6"/>
  <c r="F10" i="6" s="1"/>
  <c r="E28" i="6"/>
  <c r="F28" i="6" s="1"/>
  <c r="E4" i="6"/>
  <c r="F4" i="6" s="1"/>
  <c r="E13" i="6"/>
  <c r="F13" i="6" s="1"/>
  <c r="E7" i="6"/>
  <c r="F7" i="6" s="1"/>
  <c r="E14" i="6"/>
  <c r="F14" i="6" s="1"/>
  <c r="E27" i="6"/>
  <c r="F27" i="6" s="1"/>
  <c r="E15" i="6"/>
  <c r="F15" i="6" s="1"/>
  <c r="E23" i="6"/>
  <c r="F23" i="6" s="1"/>
  <c r="E18" i="6"/>
  <c r="E21" i="6"/>
  <c r="E31" i="6"/>
  <c r="E16" i="5"/>
  <c r="F16" i="5" s="1"/>
  <c r="E31" i="5"/>
  <c r="F31" i="5" s="1"/>
  <c r="E20" i="5"/>
  <c r="F20" i="5" s="1"/>
  <c r="E24" i="5"/>
  <c r="F24" i="5" s="1"/>
  <c r="E3" i="5"/>
  <c r="F3" i="5" s="1"/>
  <c r="E2" i="5"/>
  <c r="F2" i="5" s="1"/>
  <c r="F33" i="5" s="1"/>
  <c r="F34" i="5" s="1"/>
  <c r="E19" i="5"/>
  <c r="F19" i="5" s="1"/>
  <c r="E8" i="5"/>
  <c r="F8" i="5" s="1"/>
  <c r="E17" i="5"/>
  <c r="F17" i="5" s="1"/>
  <c r="E12" i="5"/>
  <c r="F12" i="5" s="1"/>
  <c r="E9" i="5"/>
  <c r="F9" i="5" s="1"/>
  <c r="E5" i="5"/>
  <c r="F5" i="5" s="1"/>
  <c r="E6" i="5"/>
  <c r="F6" i="5" s="1"/>
  <c r="E30" i="5"/>
  <c r="F30" i="5" s="1"/>
  <c r="E25" i="5"/>
  <c r="F25" i="5" s="1"/>
  <c r="E29" i="5"/>
  <c r="F29" i="5" s="1"/>
  <c r="E26" i="5"/>
  <c r="F26" i="5" s="1"/>
  <c r="E7" i="5"/>
  <c r="F7" i="5" s="1"/>
  <c r="E22" i="5"/>
  <c r="F22" i="5" s="1"/>
  <c r="E10" i="5"/>
  <c r="F10" i="5" s="1"/>
  <c r="E27" i="5"/>
  <c r="F27" i="5" s="1"/>
  <c r="E28" i="5"/>
  <c r="F28" i="5" s="1"/>
  <c r="E4" i="5"/>
  <c r="F4" i="5" s="1"/>
  <c r="E14" i="5"/>
  <c r="F14" i="5" s="1"/>
  <c r="E23" i="5"/>
  <c r="F23" i="5" s="1"/>
  <c r="E18" i="5"/>
  <c r="F18" i="5" s="1"/>
  <c r="E15" i="5"/>
  <c r="F15" i="5" s="1"/>
  <c r="E13" i="5"/>
  <c r="F13" i="5" s="1"/>
  <c r="E21" i="5"/>
  <c r="F21" i="5" s="1"/>
  <c r="E11" i="5"/>
  <c r="F11" i="5" s="1"/>
  <c r="F5" i="4"/>
  <c r="E3" i="4"/>
  <c r="F3" i="4" s="1"/>
  <c r="E4" i="4"/>
  <c r="F4" i="4" s="1"/>
  <c r="E5" i="4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2" i="4"/>
  <c r="F2" i="4" s="1"/>
  <c r="F6" i="3"/>
  <c r="F14" i="3"/>
  <c r="F15" i="3"/>
  <c r="F17" i="3"/>
  <c r="F22" i="3"/>
  <c r="F30" i="3"/>
  <c r="F31" i="3"/>
  <c r="F2" i="3"/>
  <c r="E3" i="3"/>
  <c r="F3" i="3" s="1"/>
  <c r="E4" i="3"/>
  <c r="F4" i="3" s="1"/>
  <c r="E5" i="3"/>
  <c r="F5" i="3" s="1"/>
  <c r="E6" i="3"/>
  <c r="E7" i="3"/>
  <c r="F7" i="3" s="1"/>
  <c r="E8" i="3"/>
  <c r="F8" i="3" s="1"/>
  <c r="E9" i="3"/>
  <c r="F9" i="3" s="1"/>
  <c r="E10" i="3"/>
  <c r="F10" i="3" s="1"/>
  <c r="E11" i="3"/>
  <c r="F11" i="3" s="1"/>
  <c r="E12" i="3"/>
  <c r="F12" i="3" s="1"/>
  <c r="E13" i="3"/>
  <c r="F13" i="3" s="1"/>
  <c r="E14" i="3"/>
  <c r="E15" i="3"/>
  <c r="E16" i="3"/>
  <c r="F16" i="3" s="1"/>
  <c r="E17" i="3"/>
  <c r="E18" i="3"/>
  <c r="F18" i="3" s="1"/>
  <c r="E19" i="3"/>
  <c r="F19" i="3" s="1"/>
  <c r="E20" i="3"/>
  <c r="F20" i="3" s="1"/>
  <c r="E21" i="3"/>
  <c r="F21" i="3" s="1"/>
  <c r="E22" i="3"/>
  <c r="E23" i="3"/>
  <c r="F23" i="3" s="1"/>
  <c r="E24" i="3"/>
  <c r="F24" i="3" s="1"/>
  <c r="E25" i="3"/>
  <c r="F25" i="3" s="1"/>
  <c r="E26" i="3"/>
  <c r="F26" i="3" s="1"/>
  <c r="E27" i="3"/>
  <c r="F27" i="3" s="1"/>
  <c r="E28" i="3"/>
  <c r="F28" i="3" s="1"/>
  <c r="E29" i="3"/>
  <c r="F29" i="3" s="1"/>
  <c r="E30" i="3"/>
  <c r="E31" i="3"/>
  <c r="E2" i="3"/>
  <c r="F17" i="1"/>
  <c r="G17" i="1" s="1"/>
  <c r="E24" i="1"/>
  <c r="F24" i="1" s="1"/>
  <c r="E2" i="1"/>
  <c r="F2" i="1" s="1"/>
  <c r="E27" i="1"/>
  <c r="F27" i="1" s="1"/>
  <c r="G27" i="1" s="1"/>
  <c r="E22" i="1"/>
  <c r="F22" i="1" s="1"/>
  <c r="E8" i="1"/>
  <c r="F8" i="1" s="1"/>
  <c r="G8" i="1" s="1"/>
  <c r="E17" i="1"/>
  <c r="E23" i="1"/>
  <c r="F23" i="1" s="1"/>
  <c r="E16" i="1"/>
  <c r="F16" i="1" s="1"/>
  <c r="E29" i="1"/>
  <c r="F29" i="1" s="1"/>
  <c r="E20" i="1"/>
  <c r="F20" i="1" s="1"/>
  <c r="G20" i="1" s="1"/>
  <c r="E3" i="1"/>
  <c r="F3" i="1" s="1"/>
  <c r="G3" i="1" s="1"/>
  <c r="E12" i="1"/>
  <c r="F12" i="1" s="1"/>
  <c r="G12" i="1" s="1"/>
  <c r="E13" i="1"/>
  <c r="F13" i="1" s="1"/>
  <c r="G13" i="1" s="1"/>
  <c r="E30" i="1"/>
  <c r="F30" i="1" s="1"/>
  <c r="G30" i="1" s="1"/>
  <c r="E15" i="1"/>
  <c r="F15" i="1" s="1"/>
  <c r="E5" i="1"/>
  <c r="F5" i="1" s="1"/>
  <c r="E14" i="1"/>
  <c r="F14" i="1" s="1"/>
  <c r="E21" i="1"/>
  <c r="F21" i="1" s="1"/>
  <c r="G21" i="1" s="1"/>
  <c r="E6" i="1"/>
  <c r="F6" i="1" s="1"/>
  <c r="G6" i="1" s="1"/>
  <c r="E26" i="1"/>
  <c r="F26" i="1" s="1"/>
  <c r="G26" i="1" s="1"/>
  <c r="E4" i="1"/>
  <c r="F4" i="1" s="1"/>
  <c r="G4" i="1" s="1"/>
  <c r="E18" i="1"/>
  <c r="F18" i="1" s="1"/>
  <c r="G18" i="1" s="1"/>
  <c r="E9" i="1"/>
  <c r="F9" i="1" s="1"/>
  <c r="G9" i="1" s="1"/>
  <c r="E19" i="1"/>
  <c r="F19" i="1" s="1"/>
  <c r="G19" i="1" s="1"/>
  <c r="E10" i="1"/>
  <c r="F10" i="1" s="1"/>
  <c r="G10" i="1" s="1"/>
  <c r="E7" i="1"/>
  <c r="F7" i="1" s="1"/>
  <c r="E11" i="1"/>
  <c r="F11" i="1" s="1"/>
  <c r="G11" i="1" s="1"/>
  <c r="E31" i="1"/>
  <c r="F31" i="1" s="1"/>
  <c r="G31" i="1" s="1"/>
  <c r="E28" i="1"/>
  <c r="F28" i="1" s="1"/>
  <c r="G28" i="1" s="1"/>
  <c r="E25" i="1"/>
  <c r="F25" i="1" s="1"/>
  <c r="G25" i="1" s="1"/>
  <c r="B33" i="5"/>
  <c r="B34" i="5" s="1"/>
  <c r="B33" i="6"/>
  <c r="B34" i="6" s="1"/>
  <c r="B16" i="7"/>
  <c r="B30" i="7" s="1"/>
  <c r="B33" i="4"/>
  <c r="B34" i="4" s="1"/>
  <c r="B33" i="3"/>
  <c r="B34" i="3" s="1"/>
  <c r="B33" i="1"/>
  <c r="B34" i="1" s="1"/>
  <c r="C33" i="2"/>
  <c r="D33" i="2"/>
  <c r="B33" i="2"/>
  <c r="B34" i="2" s="1"/>
  <c r="E19" i="2"/>
  <c r="F19" i="2" s="1"/>
  <c r="E26" i="2"/>
  <c r="F26" i="2" s="1"/>
  <c r="E12" i="2"/>
  <c r="F12" i="2" s="1"/>
  <c r="E5" i="2"/>
  <c r="F5" i="2" s="1"/>
  <c r="E23" i="2"/>
  <c r="F23" i="2" s="1"/>
  <c r="E6" i="2"/>
  <c r="F6" i="2" s="1"/>
  <c r="E16" i="2"/>
  <c r="F16" i="2" s="1"/>
  <c r="E20" i="2"/>
  <c r="F20" i="2" s="1"/>
  <c r="E15" i="2"/>
  <c r="F15" i="2" s="1"/>
  <c r="E17" i="2"/>
  <c r="F17" i="2" s="1"/>
  <c r="E28" i="2"/>
  <c r="F28" i="2" s="1"/>
  <c r="E29" i="2"/>
  <c r="F29" i="2" s="1"/>
  <c r="E13" i="2"/>
  <c r="F13" i="2" s="1"/>
  <c r="E30" i="2"/>
  <c r="F30" i="2" s="1"/>
  <c r="E27" i="2"/>
  <c r="F27" i="2" s="1"/>
  <c r="E9" i="2"/>
  <c r="F9" i="2" s="1"/>
  <c r="E25" i="2"/>
  <c r="F25" i="2" s="1"/>
  <c r="E7" i="2"/>
  <c r="F7" i="2" s="1"/>
  <c r="E21" i="2"/>
  <c r="F21" i="2" s="1"/>
  <c r="E8" i="2"/>
  <c r="F8" i="2" s="1"/>
  <c r="E2" i="2"/>
  <c r="F2" i="2" s="1"/>
  <c r="E4" i="2"/>
  <c r="F4" i="2" s="1"/>
  <c r="E3" i="2"/>
  <c r="F3" i="2" s="1"/>
  <c r="E14" i="2"/>
  <c r="F14" i="2" s="1"/>
  <c r="E22" i="2"/>
  <c r="F22" i="2" s="1"/>
  <c r="E11" i="2"/>
  <c r="F11" i="2" s="1"/>
  <c r="E10" i="2"/>
  <c r="F10" i="2" s="1"/>
  <c r="E24" i="2"/>
  <c r="F24" i="2" s="1"/>
  <c r="E31" i="2"/>
  <c r="F31" i="2" s="1"/>
  <c r="E18" i="2"/>
  <c r="F18" i="2" s="1"/>
  <c r="G33" i="1" l="1"/>
  <c r="F33" i="2"/>
  <c r="F34" i="2" s="1"/>
  <c r="E33" i="2"/>
  <c r="F16" i="7"/>
  <c r="F30" i="7" s="1"/>
  <c r="B31" i="7"/>
  <c r="F33" i="6"/>
  <c r="F34" i="6" s="1"/>
  <c r="F33" i="4"/>
  <c r="F34" i="4" s="1"/>
  <c r="F33" i="3"/>
  <c r="F34" i="3" s="1"/>
  <c r="F33" i="1"/>
</calcChain>
</file>

<file path=xl/sharedStrings.xml><?xml version="1.0" encoding="utf-8"?>
<sst xmlns="http://schemas.openxmlformats.org/spreadsheetml/2006/main" count="430" uniqueCount="139">
  <si>
    <t>Team</t>
  </si>
  <si>
    <t>Payroll</t>
  </si>
  <si>
    <t>Orioles</t>
  </si>
  <si>
    <t>Yankees</t>
  </si>
  <si>
    <t>Red Sox</t>
  </si>
  <si>
    <t>Blue Jays</t>
  </si>
  <si>
    <t>Rays</t>
  </si>
  <si>
    <t>Braves</t>
  </si>
  <si>
    <t>Mets</t>
  </si>
  <si>
    <t>Phillies</t>
  </si>
  <si>
    <t>Marlins</t>
  </si>
  <si>
    <t>Nationals</t>
  </si>
  <si>
    <t>Reg record</t>
  </si>
  <si>
    <t>Postseason wins</t>
  </si>
  <si>
    <t>Price per win (t)</t>
  </si>
  <si>
    <t>Tigers</t>
  </si>
  <si>
    <t>Twins</t>
  </si>
  <si>
    <t>Guardians</t>
  </si>
  <si>
    <t>White sox</t>
  </si>
  <si>
    <t>Royals</t>
  </si>
  <si>
    <t>Cubs</t>
  </si>
  <si>
    <t>Reds</t>
  </si>
  <si>
    <t>Brewers</t>
  </si>
  <si>
    <t>Pirates</t>
  </si>
  <si>
    <t>Cardinals</t>
  </si>
  <si>
    <t>Angels</t>
  </si>
  <si>
    <t>Athletics</t>
  </si>
  <si>
    <t>Astros</t>
  </si>
  <si>
    <t>Mariners</t>
  </si>
  <si>
    <t>Rangers</t>
  </si>
  <si>
    <t>Dodgers</t>
  </si>
  <si>
    <t>Diamondbacks</t>
  </si>
  <si>
    <t>Padres</t>
  </si>
  <si>
    <t>Rockies</t>
  </si>
  <si>
    <t>Giants</t>
  </si>
  <si>
    <t>Regular Wins</t>
  </si>
  <si>
    <t>Total Wins</t>
  </si>
  <si>
    <t xml:space="preserve">Total Wins </t>
  </si>
  <si>
    <t>Payroll (millions)</t>
  </si>
  <si>
    <t>Price per win (t) Millions</t>
  </si>
  <si>
    <t>Payroll (mil)</t>
  </si>
  <si>
    <t xml:space="preserve">Average </t>
  </si>
  <si>
    <t>Average</t>
  </si>
  <si>
    <t>Mean</t>
  </si>
  <si>
    <t>True Avg</t>
  </si>
  <si>
    <t>Trye Avg</t>
  </si>
  <si>
    <t>True avg</t>
  </si>
  <si>
    <t>Total wins</t>
  </si>
  <si>
    <t>x</t>
  </si>
  <si>
    <t>Avg ppw</t>
  </si>
  <si>
    <t>tr avg ppw</t>
  </si>
  <si>
    <t>winner ppw</t>
  </si>
  <si>
    <t>%  change</t>
  </si>
  <si>
    <t>% base change</t>
  </si>
  <si>
    <t xml:space="preserve">Average change </t>
  </si>
  <si>
    <t>17 below avg</t>
  </si>
  <si>
    <t>16 below avg</t>
  </si>
  <si>
    <t>15 below avg</t>
  </si>
  <si>
    <t>16*3</t>
  </si>
  <si>
    <t>15*3</t>
  </si>
  <si>
    <t>52.4% below avg</t>
  </si>
  <si>
    <t>50% play below</t>
  </si>
  <si>
    <t>70% below po</t>
  </si>
  <si>
    <t>5/8 belowpo</t>
  </si>
  <si>
    <t>Owner NET</t>
  </si>
  <si>
    <t>23 B</t>
  </si>
  <si>
    <t>Owner</t>
  </si>
  <si>
    <t>Owner gain</t>
  </si>
  <si>
    <t>Steve Cowen</t>
  </si>
  <si>
    <t>Arte Moreno</t>
  </si>
  <si>
    <t>Jim Crane</t>
  </si>
  <si>
    <t>John Fisher</t>
  </si>
  <si>
    <t>Rogers Comm</t>
  </si>
  <si>
    <t>braves Holdings</t>
  </si>
  <si>
    <t>Mark attanasio</t>
  </si>
  <si>
    <t>Bill DeWitt jr</t>
  </si>
  <si>
    <t>Tom Ricketts</t>
  </si>
  <si>
    <t>Ken Kendrick</t>
  </si>
  <si>
    <t>Mark Walter</t>
  </si>
  <si>
    <t>Charles B Johnson</t>
  </si>
  <si>
    <t>Paul Dolan</t>
  </si>
  <si>
    <t>John Stanton</t>
  </si>
  <si>
    <t>Bruce Sherman</t>
  </si>
  <si>
    <t>Lerner Family</t>
  </si>
  <si>
    <t>David Rubenstein</t>
  </si>
  <si>
    <t>Seidler Family</t>
  </si>
  <si>
    <t>John Middleton</t>
  </si>
  <si>
    <t>Bob Nutting</t>
  </si>
  <si>
    <t>Ray Davis</t>
  </si>
  <si>
    <t>Patrick Zalupski</t>
  </si>
  <si>
    <t>John W Henry</t>
  </si>
  <si>
    <t>Bob Castellini</t>
  </si>
  <si>
    <t>Dick Monfort</t>
  </si>
  <si>
    <t>John Sherman</t>
  </si>
  <si>
    <t>Ilitch Family</t>
  </si>
  <si>
    <t>Jim Pohlad</t>
  </si>
  <si>
    <t>Jerry Reinsdorft</t>
  </si>
  <si>
    <t>Hal Steinbrenner</t>
  </si>
  <si>
    <t>19 B</t>
  </si>
  <si>
    <t>7.3 B</t>
  </si>
  <si>
    <t>6.4 B</t>
  </si>
  <si>
    <t>5.7 B</t>
  </si>
  <si>
    <t>5.5 B</t>
  </si>
  <si>
    <t>4.9 B</t>
  </si>
  <si>
    <t>4.7 B</t>
  </si>
  <si>
    <t>2.4 B</t>
  </si>
  <si>
    <t>3.6 B</t>
  </si>
  <si>
    <t>2.5 B</t>
  </si>
  <si>
    <t>1.9 B</t>
  </si>
  <si>
    <t>4 B</t>
  </si>
  <si>
    <t>2.3 B</t>
  </si>
  <si>
    <t>1.2 B</t>
  </si>
  <si>
    <t>4.6 B</t>
  </si>
  <si>
    <t>500 M</t>
  </si>
  <si>
    <t>3 B</t>
  </si>
  <si>
    <t>4.3 B</t>
  </si>
  <si>
    <t>1.1 B</t>
  </si>
  <si>
    <t>3.8 B</t>
  </si>
  <si>
    <t>1.6 B</t>
  </si>
  <si>
    <t>400 M</t>
  </si>
  <si>
    <t>700 M</t>
  </si>
  <si>
    <t>1.3 B</t>
  </si>
  <si>
    <t>3.9 B</t>
  </si>
  <si>
    <t>earned</t>
  </si>
  <si>
    <t>inherited</t>
  </si>
  <si>
    <t>WS</t>
  </si>
  <si>
    <t>Yes</t>
  </si>
  <si>
    <t>Avg PPW (in millions $)</t>
  </si>
  <si>
    <t>PPW 25 $</t>
  </si>
  <si>
    <t>Pr 19</t>
  </si>
  <si>
    <t>pr 20</t>
  </si>
  <si>
    <t>pr 21</t>
  </si>
  <si>
    <t>pr 22</t>
  </si>
  <si>
    <t>pr23</t>
  </si>
  <si>
    <t>pr 24</t>
  </si>
  <si>
    <t>pr 25</t>
  </si>
  <si>
    <t>AVG Paroll</t>
  </si>
  <si>
    <t>AVG Payroll (millions)</t>
  </si>
  <si>
    <t>z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</si>
</sst>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8" formatCode="&quot;$&quot;#,##0.00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 (Body)"/>
    </font>
    <font>
      <b/>
      <sz val="16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4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168" fontId="0" fillId="0" borderId="0" xfId="0" applyNumberFormat="1"/>
    <xf numFmtId="44" fontId="4" fillId="0" borderId="0" xfId="1" applyFont="1"/>
    <xf numFmtId="0" fontId="4" fillId="2" borderId="0" xfId="0" applyFont="1" applyFill="1"/>
    <xf numFmtId="44" fontId="4" fillId="2" borderId="0" xfId="1" applyFont="1" applyFill="1"/>
    <xf numFmtId="0" fontId="4" fillId="3" borderId="0" xfId="0" applyFont="1" applyFill="1"/>
    <xf numFmtId="44" fontId="4" fillId="3" borderId="0" xfId="1" applyFont="1" applyFill="1"/>
    <xf numFmtId="44" fontId="0" fillId="0" borderId="0" xfId="1" applyFont="1"/>
    <xf numFmtId="44" fontId="0" fillId="0" borderId="0" xfId="0" applyNumberFormat="1"/>
    <xf numFmtId="0" fontId="0" fillId="0" borderId="0" xfId="1" applyNumberFormat="1" applyFont="1"/>
    <xf numFmtId="2" fontId="0" fillId="0" borderId="0" xfId="0" applyNumberFormat="1"/>
    <xf numFmtId="2" fontId="0" fillId="0" borderId="0" xfId="1" applyNumberFormat="1" applyFont="1"/>
    <xf numFmtId="0" fontId="0" fillId="2" borderId="0" xfId="0" applyFill="1"/>
    <xf numFmtId="2" fontId="4" fillId="0" borderId="0" xfId="0" applyNumberFormat="1" applyFont="1"/>
    <xf numFmtId="0" fontId="0" fillId="2" borderId="0" xfId="0" applyFont="1" applyFill="1"/>
    <xf numFmtId="0" fontId="0" fillId="4" borderId="0" xfId="0" applyFill="1"/>
    <xf numFmtId="16" fontId="0" fillId="0" borderId="0" xfId="0" applyNumberFormat="1"/>
    <xf numFmtId="0" fontId="4" fillId="5" borderId="0" xfId="0" applyFont="1" applyFill="1"/>
    <xf numFmtId="0" fontId="5" fillId="0" borderId="0" xfId="0" applyFont="1"/>
    <xf numFmtId="0" fontId="4" fillId="0" borderId="0" xfId="0" applyFont="1" applyFill="1"/>
    <xf numFmtId="2" fontId="0" fillId="4" borderId="0" xfId="0" applyNumberFormat="1" applyFill="1"/>
    <xf numFmtId="0" fontId="0" fillId="6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B2BD5-C821-E54C-9DFB-1E62BA2EFAFC}">
  <dimension ref="A1:N34"/>
  <sheetViews>
    <sheetView workbookViewId="0">
      <selection activeCell="B2" sqref="B2:B31"/>
    </sheetView>
  </sheetViews>
  <sheetFormatPr baseColWidth="10" defaultRowHeight="16" x14ac:dyDescent="0.2"/>
  <cols>
    <col min="1" max="1" width="21.6640625" customWidth="1"/>
    <col min="2" max="2" width="21.5" customWidth="1"/>
    <col min="3" max="3" width="21.83203125" customWidth="1"/>
    <col min="4" max="4" width="21.33203125" customWidth="1"/>
    <col min="5" max="5" width="21.83203125" customWidth="1"/>
    <col min="6" max="6" width="28.5" customWidth="1"/>
  </cols>
  <sheetData>
    <row r="1" spans="1:14" ht="22" x14ac:dyDescent="0.3">
      <c r="A1" s="2" t="s">
        <v>0</v>
      </c>
      <c r="B1" s="2" t="s">
        <v>38</v>
      </c>
      <c r="C1" s="2" t="s">
        <v>35</v>
      </c>
      <c r="D1" s="2" t="s">
        <v>13</v>
      </c>
      <c r="E1" s="2" t="s">
        <v>37</v>
      </c>
      <c r="F1" s="2" t="s">
        <v>39</v>
      </c>
    </row>
    <row r="2" spans="1:14" x14ac:dyDescent="0.2">
      <c r="A2" s="3" t="s">
        <v>25</v>
      </c>
      <c r="B2" s="3">
        <v>206</v>
      </c>
      <c r="C2" s="3">
        <v>72</v>
      </c>
      <c r="D2" s="3">
        <v>0</v>
      </c>
      <c r="E2" s="3">
        <f>SUM(C2,D2)</f>
        <v>72</v>
      </c>
      <c r="F2" s="5">
        <f>B2/E2</f>
        <v>2.8611111111111112</v>
      </c>
    </row>
    <row r="3" spans="1:14" x14ac:dyDescent="0.2">
      <c r="A3" s="3" t="s">
        <v>27</v>
      </c>
      <c r="B3" s="3">
        <v>224</v>
      </c>
      <c r="C3" s="3">
        <v>87</v>
      </c>
      <c r="D3" s="3">
        <v>0</v>
      </c>
      <c r="E3" s="3">
        <f>SUM(C3,D3)</f>
        <v>87</v>
      </c>
      <c r="F3" s="5">
        <f>B3/E3</f>
        <v>2.5747126436781609</v>
      </c>
    </row>
    <row r="4" spans="1:14" x14ac:dyDescent="0.2">
      <c r="A4" s="3" t="s">
        <v>26</v>
      </c>
      <c r="B4" s="3">
        <v>79</v>
      </c>
      <c r="C4" s="3">
        <v>76</v>
      </c>
      <c r="D4" s="3">
        <v>0</v>
      </c>
      <c r="E4" s="3">
        <f>SUM(C4,D4)</f>
        <v>76</v>
      </c>
      <c r="F4" s="5">
        <f>B4/E4</f>
        <v>1.0394736842105263</v>
      </c>
    </row>
    <row r="5" spans="1:14" x14ac:dyDescent="0.2">
      <c r="A5" s="8" t="s">
        <v>5</v>
      </c>
      <c r="B5" s="8">
        <v>258</v>
      </c>
      <c r="C5" s="8">
        <v>94</v>
      </c>
      <c r="D5" s="8">
        <v>10</v>
      </c>
      <c r="E5" s="8">
        <f>SUM(C5,D5)</f>
        <v>104</v>
      </c>
      <c r="F5" s="9">
        <f>B5/E5</f>
        <v>2.4807692307692308</v>
      </c>
    </row>
    <row r="6" spans="1:14" x14ac:dyDescent="0.2">
      <c r="A6" s="3" t="s">
        <v>7</v>
      </c>
      <c r="B6" s="3">
        <v>215</v>
      </c>
      <c r="C6" s="3">
        <v>76</v>
      </c>
      <c r="D6" s="3">
        <v>0</v>
      </c>
      <c r="E6" s="3">
        <f>SUM(C6,D6)</f>
        <v>76</v>
      </c>
      <c r="F6" s="5">
        <f>B6/E6</f>
        <v>2.8289473684210527</v>
      </c>
      <c r="G6" s="4"/>
    </row>
    <row r="7" spans="1:14" x14ac:dyDescent="0.2">
      <c r="A7" s="8" t="s">
        <v>22</v>
      </c>
      <c r="B7" s="8">
        <v>124</v>
      </c>
      <c r="C7" s="8">
        <v>97</v>
      </c>
      <c r="D7" s="8">
        <v>3</v>
      </c>
      <c r="E7" s="8">
        <f>SUM(C7,D7)</f>
        <v>100</v>
      </c>
      <c r="F7" s="9">
        <f>B7/E7</f>
        <v>1.24</v>
      </c>
    </row>
    <row r="8" spans="1:14" x14ac:dyDescent="0.2">
      <c r="A8" s="3" t="s">
        <v>24</v>
      </c>
      <c r="B8" s="3">
        <v>144</v>
      </c>
      <c r="C8" s="3">
        <v>78</v>
      </c>
      <c r="D8" s="3">
        <v>0</v>
      </c>
      <c r="E8" s="3">
        <f>SUM(C8,D8)</f>
        <v>78</v>
      </c>
      <c r="F8" s="5">
        <f>B8/E8</f>
        <v>1.8461538461538463</v>
      </c>
    </row>
    <row r="9" spans="1:14" x14ac:dyDescent="0.2">
      <c r="A9" s="8" t="s">
        <v>20</v>
      </c>
      <c r="B9" s="8">
        <v>207</v>
      </c>
      <c r="C9" s="8">
        <v>92</v>
      </c>
      <c r="D9" s="8">
        <v>4</v>
      </c>
      <c r="E9" s="8">
        <f>SUM(C9,D9)</f>
        <v>96</v>
      </c>
      <c r="F9" s="9">
        <f>B9/E9</f>
        <v>2.15625</v>
      </c>
    </row>
    <row r="10" spans="1:14" x14ac:dyDescent="0.2">
      <c r="A10" s="3" t="s">
        <v>31</v>
      </c>
      <c r="B10" s="3">
        <v>191</v>
      </c>
      <c r="C10" s="3">
        <v>80</v>
      </c>
      <c r="D10" s="3">
        <v>0</v>
      </c>
      <c r="E10" s="3">
        <f>SUM(C10,D10)</f>
        <v>80</v>
      </c>
      <c r="F10" s="5">
        <f>B10/E10</f>
        <v>2.3875000000000002</v>
      </c>
    </row>
    <row r="11" spans="1:14" x14ac:dyDescent="0.2">
      <c r="A11" s="6" t="s">
        <v>30</v>
      </c>
      <c r="B11" s="6">
        <v>404</v>
      </c>
      <c r="C11" s="6">
        <v>93</v>
      </c>
      <c r="D11" s="6">
        <v>13</v>
      </c>
      <c r="E11" s="6">
        <f>SUM(C11,D11)</f>
        <v>106</v>
      </c>
      <c r="F11" s="7">
        <f>B11/E11</f>
        <v>3.8113207547169812</v>
      </c>
    </row>
    <row r="12" spans="1:14" x14ac:dyDescent="0.2">
      <c r="A12" s="3" t="s">
        <v>34</v>
      </c>
      <c r="B12" s="3">
        <v>179</v>
      </c>
      <c r="C12" s="3">
        <v>81</v>
      </c>
      <c r="D12" s="3">
        <v>0</v>
      </c>
      <c r="E12" s="3">
        <f>SUM(C12,D12)</f>
        <v>81</v>
      </c>
      <c r="F12" s="5">
        <f>B12/E12</f>
        <v>2.2098765432098766</v>
      </c>
    </row>
    <row r="13" spans="1:14" x14ac:dyDescent="0.2">
      <c r="A13" s="8" t="s">
        <v>17</v>
      </c>
      <c r="B13" s="8">
        <v>102</v>
      </c>
      <c r="C13" s="8">
        <v>88</v>
      </c>
      <c r="D13" s="8">
        <v>1</v>
      </c>
      <c r="E13" s="8">
        <f>SUM(C13,D13)</f>
        <v>89</v>
      </c>
      <c r="F13" s="9">
        <f>B13/E13</f>
        <v>1.146067415730337</v>
      </c>
    </row>
    <row r="14" spans="1:14" x14ac:dyDescent="0.2">
      <c r="A14" s="8" t="s">
        <v>28</v>
      </c>
      <c r="B14" s="8">
        <v>167</v>
      </c>
      <c r="C14" s="8">
        <v>90</v>
      </c>
      <c r="D14" s="8">
        <v>6</v>
      </c>
      <c r="E14" s="8">
        <f>SUM(C14,D14)</f>
        <v>96</v>
      </c>
      <c r="F14" s="9">
        <f>B14/E14</f>
        <v>1.7395833333333333</v>
      </c>
    </row>
    <row r="15" spans="1:14" x14ac:dyDescent="0.2">
      <c r="A15" s="3" t="s">
        <v>10</v>
      </c>
      <c r="B15" s="3">
        <v>70</v>
      </c>
      <c r="C15" s="3">
        <v>79</v>
      </c>
      <c r="D15" s="3">
        <v>0</v>
      </c>
      <c r="E15" s="3">
        <f>SUM(C15,D15)</f>
        <v>79</v>
      </c>
      <c r="F15" s="5">
        <f>B15/E15</f>
        <v>0.88607594936708856</v>
      </c>
    </row>
    <row r="16" spans="1:14" x14ac:dyDescent="0.2">
      <c r="A16" s="3" t="s">
        <v>8</v>
      </c>
      <c r="B16" s="3">
        <v>341</v>
      </c>
      <c r="C16" s="3">
        <v>83</v>
      </c>
      <c r="D16" s="3">
        <v>0</v>
      </c>
      <c r="E16" s="3">
        <f>SUM(C16,D16)</f>
        <v>83</v>
      </c>
      <c r="F16" s="5">
        <f>B16/E16</f>
        <v>4.1084337349397586</v>
      </c>
      <c r="N16" t="s">
        <v>58</v>
      </c>
    </row>
    <row r="17" spans="1:14" x14ac:dyDescent="0.2">
      <c r="A17" s="3" t="s">
        <v>11</v>
      </c>
      <c r="B17" s="3">
        <v>118</v>
      </c>
      <c r="C17" s="3">
        <v>66</v>
      </c>
      <c r="D17" s="3">
        <v>0</v>
      </c>
      <c r="E17" s="3">
        <f>SUM(C17,D17)</f>
        <v>66</v>
      </c>
      <c r="F17" s="5">
        <f>B17/E17</f>
        <v>1.7878787878787878</v>
      </c>
      <c r="N17" t="s">
        <v>59</v>
      </c>
    </row>
    <row r="18" spans="1:14" x14ac:dyDescent="0.2">
      <c r="A18" s="3" t="s">
        <v>2</v>
      </c>
      <c r="B18" s="3">
        <v>160</v>
      </c>
      <c r="C18" s="3">
        <v>75</v>
      </c>
      <c r="D18" s="3">
        <v>0</v>
      </c>
      <c r="E18" s="3">
        <f>SUM(C$2,D$2)</f>
        <v>72</v>
      </c>
      <c r="F18" s="5">
        <f>B18/E18</f>
        <v>2.2222222222222223</v>
      </c>
      <c r="N18">
        <v>17</v>
      </c>
    </row>
    <row r="19" spans="1:14" x14ac:dyDescent="0.2">
      <c r="A19" s="8" t="s">
        <v>32</v>
      </c>
      <c r="B19" s="8">
        <v>214</v>
      </c>
      <c r="C19" s="8">
        <v>90</v>
      </c>
      <c r="D19" s="8">
        <v>1</v>
      </c>
      <c r="E19" s="8">
        <f>SUM(C19,D19)</f>
        <v>91</v>
      </c>
      <c r="F19" s="9">
        <f>B19/E19</f>
        <v>2.3516483516483517</v>
      </c>
      <c r="N19">
        <v>48</v>
      </c>
    </row>
    <row r="20" spans="1:14" x14ac:dyDescent="0.2">
      <c r="A20" s="8" t="s">
        <v>9</v>
      </c>
      <c r="B20" s="8">
        <v>292</v>
      </c>
      <c r="C20" s="8">
        <v>96</v>
      </c>
      <c r="D20" s="8">
        <v>1</v>
      </c>
      <c r="E20" s="8">
        <f>SUM(C20,D20)</f>
        <v>97</v>
      </c>
      <c r="F20" s="9">
        <f>B20/E20</f>
        <v>3.0103092783505154</v>
      </c>
      <c r="N20">
        <v>45</v>
      </c>
    </row>
    <row r="21" spans="1:14" x14ac:dyDescent="0.2">
      <c r="A21" s="3" t="s">
        <v>23</v>
      </c>
      <c r="B21" s="3">
        <v>87</v>
      </c>
      <c r="C21" s="3">
        <v>71</v>
      </c>
      <c r="D21" s="3">
        <v>0</v>
      </c>
      <c r="E21" s="3">
        <f>SUM(C21,D21)</f>
        <v>71</v>
      </c>
      <c r="F21" s="5">
        <f>B21/E21</f>
        <v>1.2253521126760563</v>
      </c>
    </row>
    <row r="22" spans="1:14" x14ac:dyDescent="0.2">
      <c r="A22" s="3" t="s">
        <v>29</v>
      </c>
      <c r="B22" s="3">
        <v>225</v>
      </c>
      <c r="C22" s="3">
        <v>81</v>
      </c>
      <c r="D22" s="3">
        <v>0</v>
      </c>
      <c r="E22" s="3">
        <f>SUM(C22,D22)</f>
        <v>81</v>
      </c>
      <c r="F22" s="5">
        <f>B22/E22</f>
        <v>2.7777777777777777</v>
      </c>
    </row>
    <row r="23" spans="1:14" x14ac:dyDescent="0.2">
      <c r="A23" s="3" t="s">
        <v>6</v>
      </c>
      <c r="B23" s="3">
        <v>79</v>
      </c>
      <c r="C23" s="3">
        <v>77</v>
      </c>
      <c r="D23" s="3">
        <v>0</v>
      </c>
      <c r="E23" s="3">
        <f>SUM(C23,D23)</f>
        <v>77</v>
      </c>
      <c r="F23" s="5">
        <f>B23/E23</f>
        <v>1.025974025974026</v>
      </c>
      <c r="N23">
        <f xml:space="preserve"> SUM(N18,N19,N20,)</f>
        <v>110</v>
      </c>
    </row>
    <row r="24" spans="1:14" x14ac:dyDescent="0.2">
      <c r="A24" s="8" t="s">
        <v>4</v>
      </c>
      <c r="B24" s="8">
        <v>209</v>
      </c>
      <c r="C24" s="8">
        <v>89</v>
      </c>
      <c r="D24" s="8">
        <v>1</v>
      </c>
      <c r="E24" s="8">
        <f>SUM(C24,D24)</f>
        <v>90</v>
      </c>
      <c r="F24" s="9">
        <f>B24/E24</f>
        <v>2.3222222222222224</v>
      </c>
      <c r="H24" t="s">
        <v>56</v>
      </c>
      <c r="N24">
        <v>7</v>
      </c>
    </row>
    <row r="25" spans="1:14" x14ac:dyDescent="0.2">
      <c r="A25" s="3" t="s">
        <v>21</v>
      </c>
      <c r="B25" s="3">
        <v>119</v>
      </c>
      <c r="C25" s="3">
        <v>83</v>
      </c>
      <c r="D25" s="3">
        <v>0</v>
      </c>
      <c r="E25" s="3">
        <f>SUM(C25,D25)</f>
        <v>83</v>
      </c>
      <c r="F25" s="5">
        <f>B25/E25</f>
        <v>1.4337349397590362</v>
      </c>
      <c r="N25">
        <f>N23/N24</f>
        <v>15.714285714285714</v>
      </c>
    </row>
    <row r="26" spans="1:14" x14ac:dyDescent="0.2">
      <c r="A26" s="3" t="s">
        <v>33</v>
      </c>
      <c r="B26" s="3">
        <v>129</v>
      </c>
      <c r="C26" s="3">
        <v>43</v>
      </c>
      <c r="D26" s="3">
        <v>0</v>
      </c>
      <c r="E26" s="3">
        <f>SUM(C26,D26)</f>
        <v>43</v>
      </c>
      <c r="F26" s="5">
        <f>B26/E26</f>
        <v>3</v>
      </c>
    </row>
    <row r="27" spans="1:14" x14ac:dyDescent="0.2">
      <c r="A27" s="3" t="s">
        <v>19</v>
      </c>
      <c r="B27" s="3">
        <v>140</v>
      </c>
      <c r="C27" s="3">
        <v>82</v>
      </c>
      <c r="D27" s="3">
        <v>0</v>
      </c>
      <c r="E27" s="3">
        <f>SUM(C27,D27)</f>
        <v>82</v>
      </c>
      <c r="F27" s="5">
        <f>B27/E27</f>
        <v>1.7073170731707317</v>
      </c>
    </row>
    <row r="28" spans="1:14" x14ac:dyDescent="0.2">
      <c r="A28" s="8" t="s">
        <v>15</v>
      </c>
      <c r="B28" s="8">
        <v>156</v>
      </c>
      <c r="C28" s="8">
        <v>87</v>
      </c>
      <c r="D28" s="8">
        <v>4</v>
      </c>
      <c r="E28" s="8">
        <f>SUM(C28,D28)</f>
        <v>91</v>
      </c>
      <c r="F28" s="9">
        <f>B28/E28</f>
        <v>1.7142857142857142</v>
      </c>
    </row>
    <row r="29" spans="1:14" x14ac:dyDescent="0.2">
      <c r="A29" s="3" t="s">
        <v>16</v>
      </c>
      <c r="B29" s="3">
        <v>137</v>
      </c>
      <c r="C29" s="3">
        <v>70</v>
      </c>
      <c r="D29" s="3">
        <v>0</v>
      </c>
      <c r="E29" s="3">
        <f>SUM(C29,D29)</f>
        <v>70</v>
      </c>
      <c r="F29" s="5">
        <f>B29/E29</f>
        <v>1.9571428571428571</v>
      </c>
    </row>
    <row r="30" spans="1:14" x14ac:dyDescent="0.2">
      <c r="A30" s="3" t="s">
        <v>18</v>
      </c>
      <c r="B30" s="3">
        <v>85</v>
      </c>
      <c r="C30" s="3">
        <v>60</v>
      </c>
      <c r="D30" s="3">
        <v>0</v>
      </c>
      <c r="E30" s="3">
        <f>SUM(C30,D30)</f>
        <v>60</v>
      </c>
      <c r="F30" s="5">
        <f>B30/E30</f>
        <v>1.4166666666666667</v>
      </c>
    </row>
    <row r="31" spans="1:14" x14ac:dyDescent="0.2">
      <c r="A31" s="8" t="s">
        <v>3</v>
      </c>
      <c r="B31" s="8">
        <v>296</v>
      </c>
      <c r="C31" s="8">
        <v>94</v>
      </c>
      <c r="D31" s="8">
        <v>3</v>
      </c>
      <c r="E31" s="8">
        <f>SUM(C$3,D$3)</f>
        <v>87</v>
      </c>
      <c r="F31" s="9">
        <f>B31/E31</f>
        <v>3.4022988505747125</v>
      </c>
    </row>
    <row r="33" spans="1:7" x14ac:dyDescent="0.2">
      <c r="A33" s="3" t="s">
        <v>41</v>
      </c>
      <c r="B33" s="10">
        <f>AVERAGE(B2:B31)</f>
        <v>178.56666666666666</v>
      </c>
      <c r="C33">
        <f t="shared" ref="C33:F33" si="0">AVERAGE(C2:C31)</f>
        <v>81</v>
      </c>
      <c r="D33" s="13">
        <f t="shared" si="0"/>
        <v>1.5666666666666667</v>
      </c>
      <c r="E33" s="13">
        <f t="shared" si="0"/>
        <v>82.13333333333334</v>
      </c>
      <c r="F33" s="10">
        <f t="shared" si="0"/>
        <v>2.1557035498663661</v>
      </c>
    </row>
    <row r="34" spans="1:7" x14ac:dyDescent="0.2">
      <c r="A34" s="3" t="s">
        <v>44</v>
      </c>
      <c r="B34" s="11">
        <f>AVERAGE(B33,B16)</f>
        <v>259.7833333333333</v>
      </c>
      <c r="C34" s="12"/>
      <c r="D34" s="14"/>
      <c r="E34" s="14"/>
      <c r="F34" s="11">
        <f t="shared" ref="C34:G34" si="1">AVERAGE(F33,F16)</f>
        <v>3.1320686424030626</v>
      </c>
      <c r="G34" s="11"/>
    </row>
  </sheetData>
  <autoFilter ref="A1:F31" xr:uid="{0B4B2BD5-C821-E54C-9DFB-1E62BA2EFAFC}">
    <sortState xmlns:xlrd2="http://schemas.microsoft.com/office/spreadsheetml/2017/richdata2" ref="A2:F31">
      <sortCondition ref="A1:A3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E6FC5-B78A-AC49-B968-5450E6946AA2}">
  <dimension ref="A1:H34"/>
  <sheetViews>
    <sheetView workbookViewId="0">
      <selection activeCell="B2" sqref="B2:B31"/>
    </sheetView>
  </sheetViews>
  <sheetFormatPr baseColWidth="10" defaultRowHeight="16" x14ac:dyDescent="0.2"/>
  <cols>
    <col min="1" max="1" width="15.83203125" customWidth="1"/>
    <col min="2" max="2" width="16.5" customWidth="1"/>
    <col min="3" max="3" width="18.1640625" customWidth="1"/>
    <col min="4" max="4" width="21.5" customWidth="1"/>
    <col min="5" max="5" width="20.83203125" customWidth="1"/>
    <col min="6" max="6" width="24.1640625" customWidth="1"/>
    <col min="7" max="7" width="12.6640625" bestFit="1" customWidth="1"/>
  </cols>
  <sheetData>
    <row r="1" spans="1:7" ht="22" x14ac:dyDescent="0.3">
      <c r="A1" s="1" t="s">
        <v>0</v>
      </c>
      <c r="B1" s="1" t="s">
        <v>40</v>
      </c>
      <c r="C1" s="1" t="s">
        <v>12</v>
      </c>
      <c r="D1" s="1" t="s">
        <v>13</v>
      </c>
      <c r="E1" s="1" t="s">
        <v>47</v>
      </c>
      <c r="F1" s="1" t="s">
        <v>14</v>
      </c>
      <c r="G1" s="1" t="s">
        <v>128</v>
      </c>
    </row>
    <row r="2" spans="1:7" x14ac:dyDescent="0.2">
      <c r="A2" t="s">
        <v>26</v>
      </c>
      <c r="B2">
        <v>63</v>
      </c>
      <c r="C2">
        <v>69</v>
      </c>
      <c r="D2">
        <v>0</v>
      </c>
      <c r="E2">
        <f xml:space="preserve"> SUM(C2,D2)</f>
        <v>69</v>
      </c>
      <c r="F2" s="13">
        <f>B2/E2</f>
        <v>0.91304347826086951</v>
      </c>
      <c r="G2" s="13">
        <f>F2*1.04</f>
        <v>0.94956521739130428</v>
      </c>
    </row>
    <row r="3" spans="1:7" x14ac:dyDescent="0.2">
      <c r="A3" t="s">
        <v>17</v>
      </c>
      <c r="B3">
        <v>104</v>
      </c>
      <c r="C3">
        <v>92</v>
      </c>
      <c r="D3">
        <v>4</v>
      </c>
      <c r="E3">
        <f xml:space="preserve"> SUM(C3,D3)</f>
        <v>96</v>
      </c>
      <c r="F3" s="13">
        <f>B3/E3</f>
        <v>1.0833333333333333</v>
      </c>
      <c r="G3" s="13">
        <f t="shared" ref="G3:G31" si="0">F3*1.04</f>
        <v>1.1266666666666667</v>
      </c>
    </row>
    <row r="4" spans="1:7" x14ac:dyDescent="0.2">
      <c r="A4" t="s">
        <v>6</v>
      </c>
      <c r="B4">
        <v>88</v>
      </c>
      <c r="C4">
        <v>80</v>
      </c>
      <c r="D4">
        <v>0</v>
      </c>
      <c r="E4">
        <f xml:space="preserve"> SUM(C4,D4)</f>
        <v>80</v>
      </c>
      <c r="F4" s="13">
        <f>B4/E4</f>
        <v>1.1000000000000001</v>
      </c>
      <c r="G4" s="13">
        <f t="shared" si="0"/>
        <v>1.1440000000000001</v>
      </c>
    </row>
    <row r="5" spans="1:7" x14ac:dyDescent="0.2">
      <c r="A5" t="s">
        <v>2</v>
      </c>
      <c r="B5">
        <v>103</v>
      </c>
      <c r="C5">
        <v>91</v>
      </c>
      <c r="D5">
        <v>0</v>
      </c>
      <c r="E5">
        <f xml:space="preserve"> SUM(C5,D5)</f>
        <v>91</v>
      </c>
      <c r="F5" s="13">
        <f>B5/E5</f>
        <v>1.1318681318681318</v>
      </c>
      <c r="G5" s="13">
        <f t="shared" si="0"/>
        <v>1.1771428571428573</v>
      </c>
    </row>
    <row r="6" spans="1:7" x14ac:dyDescent="0.2">
      <c r="A6" t="s">
        <v>23</v>
      </c>
      <c r="B6">
        <v>87</v>
      </c>
      <c r="C6">
        <v>76</v>
      </c>
      <c r="D6">
        <v>0</v>
      </c>
      <c r="E6">
        <f xml:space="preserve"> SUM(C6,D6)</f>
        <v>76</v>
      </c>
      <c r="F6" s="13">
        <f>B6/E6</f>
        <v>1.1447368421052631</v>
      </c>
      <c r="G6" s="13">
        <f t="shared" si="0"/>
        <v>1.1905263157894737</v>
      </c>
    </row>
    <row r="7" spans="1:7" x14ac:dyDescent="0.2">
      <c r="A7" t="s">
        <v>15</v>
      </c>
      <c r="B7">
        <v>104</v>
      </c>
      <c r="C7">
        <v>86</v>
      </c>
      <c r="D7">
        <v>4</v>
      </c>
      <c r="E7">
        <f xml:space="preserve"> SUM(C7,D7)</f>
        <v>90</v>
      </c>
      <c r="F7" s="13">
        <f>B7/E7</f>
        <v>1.1555555555555554</v>
      </c>
      <c r="G7" s="13">
        <f t="shared" si="0"/>
        <v>1.2017777777777776</v>
      </c>
    </row>
    <row r="8" spans="1:7" x14ac:dyDescent="0.2">
      <c r="A8" t="s">
        <v>22</v>
      </c>
      <c r="B8">
        <v>116</v>
      </c>
      <c r="C8">
        <v>93</v>
      </c>
      <c r="D8">
        <v>1</v>
      </c>
      <c r="E8">
        <f xml:space="preserve"> SUM(C8,D8)</f>
        <v>94</v>
      </c>
      <c r="F8" s="13">
        <f>B8/E8</f>
        <v>1.2340425531914894</v>
      </c>
      <c r="G8" s="13">
        <f t="shared" si="0"/>
        <v>1.2834042553191489</v>
      </c>
    </row>
    <row r="9" spans="1:7" x14ac:dyDescent="0.2">
      <c r="A9" t="s">
        <v>21</v>
      </c>
      <c r="B9">
        <v>100</v>
      </c>
      <c r="C9">
        <v>79</v>
      </c>
      <c r="D9">
        <v>0</v>
      </c>
      <c r="E9">
        <f xml:space="preserve"> SUM(C9,D9)</f>
        <v>79</v>
      </c>
      <c r="F9" s="13">
        <f>B9/E9</f>
        <v>1.2658227848101267</v>
      </c>
      <c r="G9" s="13">
        <f t="shared" si="0"/>
        <v>1.3164556962025318</v>
      </c>
    </row>
    <row r="10" spans="1:7" x14ac:dyDescent="0.2">
      <c r="A10" t="s">
        <v>19</v>
      </c>
      <c r="B10">
        <v>114</v>
      </c>
      <c r="C10">
        <v>86</v>
      </c>
      <c r="D10">
        <v>3</v>
      </c>
      <c r="E10">
        <f xml:space="preserve"> SUM(C10,D10)</f>
        <v>89</v>
      </c>
      <c r="F10" s="13">
        <f>B10/E10</f>
        <v>1.2808988764044944</v>
      </c>
      <c r="G10" s="13">
        <f t="shared" si="0"/>
        <v>1.3321348314606742</v>
      </c>
    </row>
    <row r="11" spans="1:7" x14ac:dyDescent="0.2">
      <c r="A11" t="s">
        <v>16</v>
      </c>
      <c r="B11">
        <v>130</v>
      </c>
      <c r="C11">
        <v>82</v>
      </c>
      <c r="D11">
        <v>0</v>
      </c>
      <c r="E11">
        <f xml:space="preserve"> SUM(C11,D11)</f>
        <v>82</v>
      </c>
      <c r="F11" s="13">
        <f>B11/E11</f>
        <v>1.5853658536585367</v>
      </c>
      <c r="G11" s="13">
        <f t="shared" si="0"/>
        <v>1.6487804878048782</v>
      </c>
    </row>
    <row r="12" spans="1:7" x14ac:dyDescent="0.2">
      <c r="A12" t="s">
        <v>28</v>
      </c>
      <c r="B12">
        <v>144</v>
      </c>
      <c r="C12">
        <v>85</v>
      </c>
      <c r="D12">
        <v>0</v>
      </c>
      <c r="E12">
        <f xml:space="preserve"> SUM(C12,D12)</f>
        <v>85</v>
      </c>
      <c r="F12" s="13">
        <f>B12/E12</f>
        <v>1.6941176470588235</v>
      </c>
      <c r="G12" s="13">
        <f t="shared" si="0"/>
        <v>1.7618823529411765</v>
      </c>
    </row>
    <row r="13" spans="1:7" x14ac:dyDescent="0.2">
      <c r="A13" t="s">
        <v>10</v>
      </c>
      <c r="B13">
        <v>106</v>
      </c>
      <c r="C13">
        <v>62</v>
      </c>
      <c r="D13">
        <v>0</v>
      </c>
      <c r="E13">
        <f xml:space="preserve"> SUM(C13,D13)</f>
        <v>62</v>
      </c>
      <c r="F13" s="13">
        <f>B13/E13</f>
        <v>1.7096774193548387</v>
      </c>
      <c r="G13" s="13">
        <f t="shared" si="0"/>
        <v>1.7780645161290323</v>
      </c>
    </row>
    <row r="14" spans="1:7" x14ac:dyDescent="0.2">
      <c r="A14" t="s">
        <v>32</v>
      </c>
      <c r="B14">
        <v>172</v>
      </c>
      <c r="C14">
        <v>93</v>
      </c>
      <c r="D14">
        <v>4</v>
      </c>
      <c r="E14">
        <f xml:space="preserve"> SUM(C14,D14)</f>
        <v>97</v>
      </c>
      <c r="F14" s="13">
        <f>B14/E14</f>
        <v>1.7731958762886597</v>
      </c>
      <c r="G14" s="13">
        <f t="shared" si="0"/>
        <v>1.8441237113402063</v>
      </c>
    </row>
    <row r="15" spans="1:7" x14ac:dyDescent="0.2">
      <c r="A15" t="s">
        <v>11</v>
      </c>
      <c r="B15">
        <v>130</v>
      </c>
      <c r="C15">
        <v>71</v>
      </c>
      <c r="D15">
        <v>0</v>
      </c>
      <c r="E15">
        <f xml:space="preserve"> SUM(C15,D15)</f>
        <v>71</v>
      </c>
      <c r="F15" s="13">
        <f>B15/E15</f>
        <v>1.8309859154929577</v>
      </c>
      <c r="G15" s="13">
        <f t="shared" si="0"/>
        <v>1.9042253521126762</v>
      </c>
    </row>
    <row r="16" spans="1:7" x14ac:dyDescent="0.2">
      <c r="A16" t="s">
        <v>31</v>
      </c>
      <c r="B16">
        <v>173</v>
      </c>
      <c r="C16">
        <v>89</v>
      </c>
      <c r="D16">
        <v>0</v>
      </c>
      <c r="E16">
        <f xml:space="preserve"> SUM(C16,D16)</f>
        <v>89</v>
      </c>
      <c r="F16" s="13">
        <f>B16/E16</f>
        <v>1.9438202247191012</v>
      </c>
      <c r="G16" s="13">
        <f t="shared" si="0"/>
        <v>2.0215730337078655</v>
      </c>
    </row>
    <row r="17" spans="1:8" x14ac:dyDescent="0.2">
      <c r="A17" t="s">
        <v>24</v>
      </c>
      <c r="B17">
        <v>183</v>
      </c>
      <c r="C17">
        <v>83</v>
      </c>
      <c r="D17">
        <v>0</v>
      </c>
      <c r="E17">
        <f xml:space="preserve"> SUM(C17,D17)</f>
        <v>83</v>
      </c>
      <c r="F17" s="13">
        <f>B17/E17</f>
        <v>2.2048192771084336</v>
      </c>
      <c r="G17" s="13">
        <f t="shared" si="0"/>
        <v>2.2930120481927712</v>
      </c>
    </row>
    <row r="18" spans="1:8" x14ac:dyDescent="0.2">
      <c r="A18" t="s">
        <v>4</v>
      </c>
      <c r="B18">
        <v>184</v>
      </c>
      <c r="C18">
        <v>81</v>
      </c>
      <c r="D18">
        <v>0</v>
      </c>
      <c r="E18">
        <f xml:space="preserve"> SUM(C18,D18)</f>
        <v>81</v>
      </c>
      <c r="F18" s="13">
        <f>B18/E18</f>
        <v>2.2716049382716048</v>
      </c>
      <c r="G18" s="13">
        <f t="shared" si="0"/>
        <v>2.3624691358024692</v>
      </c>
    </row>
    <row r="19" spans="1:8" x14ac:dyDescent="0.2">
      <c r="A19" t="s">
        <v>33</v>
      </c>
      <c r="B19">
        <v>147</v>
      </c>
      <c r="C19">
        <v>61</v>
      </c>
      <c r="D19">
        <v>0</v>
      </c>
      <c r="E19">
        <f xml:space="preserve"> SUM(C19,D19)</f>
        <v>61</v>
      </c>
      <c r="F19" s="13">
        <f>B19/E19</f>
        <v>2.4098360655737703</v>
      </c>
      <c r="G19" s="13">
        <f t="shared" si="0"/>
        <v>2.506229508196721</v>
      </c>
    </row>
    <row r="20" spans="1:8" x14ac:dyDescent="0.2">
      <c r="A20" t="s">
        <v>34</v>
      </c>
      <c r="B20">
        <v>206</v>
      </c>
      <c r="C20">
        <v>80</v>
      </c>
      <c r="D20">
        <v>0</v>
      </c>
      <c r="E20">
        <f xml:space="preserve"> SUM(C20,D20)</f>
        <v>80</v>
      </c>
      <c r="F20" s="13">
        <f>B20/E20</f>
        <v>2.5750000000000002</v>
      </c>
      <c r="G20" s="13">
        <f t="shared" si="0"/>
        <v>2.6780000000000004</v>
      </c>
    </row>
    <row r="21" spans="1:8" x14ac:dyDescent="0.2">
      <c r="A21" t="s">
        <v>9</v>
      </c>
      <c r="B21">
        <v>248</v>
      </c>
      <c r="C21">
        <v>95</v>
      </c>
      <c r="D21">
        <v>1</v>
      </c>
      <c r="E21">
        <f xml:space="preserve"> SUM(C21,D21)</f>
        <v>96</v>
      </c>
      <c r="F21" s="13">
        <f>B21/E21</f>
        <v>2.5833333333333335</v>
      </c>
      <c r="G21" s="13">
        <f t="shared" si="0"/>
        <v>2.686666666666667</v>
      </c>
    </row>
    <row r="22" spans="1:8" x14ac:dyDescent="0.2">
      <c r="A22" t="s">
        <v>7</v>
      </c>
      <c r="B22">
        <v>232</v>
      </c>
      <c r="C22">
        <v>89</v>
      </c>
      <c r="D22">
        <v>0</v>
      </c>
      <c r="E22">
        <f xml:space="preserve"> SUM(C22,D22)</f>
        <v>89</v>
      </c>
      <c r="F22" s="13">
        <f>B22/E22</f>
        <v>2.606741573033708</v>
      </c>
      <c r="G22" s="13">
        <f t="shared" si="0"/>
        <v>2.7110112359550564</v>
      </c>
    </row>
    <row r="23" spans="1:8" x14ac:dyDescent="0.2">
      <c r="A23" t="s">
        <v>20</v>
      </c>
      <c r="B23">
        <v>228</v>
      </c>
      <c r="C23">
        <v>83</v>
      </c>
      <c r="D23">
        <v>0</v>
      </c>
      <c r="E23">
        <f xml:space="preserve"> SUM(C23,D23)</f>
        <v>83</v>
      </c>
      <c r="F23" s="13">
        <f>B23/E23</f>
        <v>2.7469879518072289</v>
      </c>
      <c r="G23" s="13">
        <f t="shared" si="0"/>
        <v>2.8568674698795182</v>
      </c>
      <c r="H23" t="s">
        <v>57</v>
      </c>
    </row>
    <row r="24" spans="1:8" x14ac:dyDescent="0.2">
      <c r="A24" t="s">
        <v>27</v>
      </c>
      <c r="B24">
        <v>244</v>
      </c>
      <c r="C24">
        <v>88</v>
      </c>
      <c r="D24">
        <v>0</v>
      </c>
      <c r="E24">
        <f xml:space="preserve"> SUM(C24,D24)</f>
        <v>88</v>
      </c>
      <c r="F24" s="13">
        <f>B24/E24</f>
        <v>2.7727272727272729</v>
      </c>
      <c r="G24" s="13">
        <f t="shared" si="0"/>
        <v>2.8836363636363638</v>
      </c>
    </row>
    <row r="25" spans="1:8" x14ac:dyDescent="0.2">
      <c r="A25" t="s">
        <v>25</v>
      </c>
      <c r="B25">
        <v>176</v>
      </c>
      <c r="C25">
        <v>63</v>
      </c>
      <c r="D25">
        <v>0</v>
      </c>
      <c r="E25">
        <f xml:space="preserve"> SUM(C25,D25)</f>
        <v>63</v>
      </c>
      <c r="F25" s="13">
        <f>B25/E25</f>
        <v>2.7936507936507935</v>
      </c>
      <c r="G25" s="13">
        <f t="shared" si="0"/>
        <v>2.9053968253968252</v>
      </c>
    </row>
    <row r="26" spans="1:8" x14ac:dyDescent="0.2">
      <c r="A26" t="s">
        <v>29</v>
      </c>
      <c r="B26">
        <v>227</v>
      </c>
      <c r="C26">
        <v>78</v>
      </c>
      <c r="D26">
        <v>0</v>
      </c>
      <c r="E26">
        <f xml:space="preserve"> SUM(C26,D26)</f>
        <v>78</v>
      </c>
      <c r="F26" s="13">
        <f>B26/E26</f>
        <v>2.9102564102564101</v>
      </c>
      <c r="G26" s="13">
        <f t="shared" si="0"/>
        <v>3.0266666666666668</v>
      </c>
    </row>
    <row r="27" spans="1:8" x14ac:dyDescent="0.2">
      <c r="A27" t="s">
        <v>5</v>
      </c>
      <c r="B27">
        <v>217</v>
      </c>
      <c r="C27">
        <v>74</v>
      </c>
      <c r="D27">
        <v>0</v>
      </c>
      <c r="E27">
        <f xml:space="preserve"> SUM(C27,D27)</f>
        <v>74</v>
      </c>
      <c r="F27" s="13">
        <f>B27/E27</f>
        <v>2.9324324324324325</v>
      </c>
      <c r="G27" s="13">
        <f t="shared" si="0"/>
        <v>3.0497297297297297</v>
      </c>
    </row>
    <row r="28" spans="1:8" x14ac:dyDescent="0.2">
      <c r="A28" t="s">
        <v>3</v>
      </c>
      <c r="B28">
        <v>303</v>
      </c>
      <c r="C28">
        <v>94</v>
      </c>
      <c r="D28">
        <v>8</v>
      </c>
      <c r="E28">
        <f xml:space="preserve"> SUM(C28,D28)</f>
        <v>102</v>
      </c>
      <c r="F28" s="13">
        <f>B28/E28</f>
        <v>2.9705882352941178</v>
      </c>
      <c r="G28" s="13">
        <f t="shared" si="0"/>
        <v>3.0894117647058827</v>
      </c>
    </row>
    <row r="29" spans="1:8" x14ac:dyDescent="0.2">
      <c r="A29" s="15" t="s">
        <v>30</v>
      </c>
      <c r="B29" s="15">
        <v>328</v>
      </c>
      <c r="C29" s="15">
        <v>98</v>
      </c>
      <c r="D29" s="15">
        <v>11</v>
      </c>
      <c r="E29">
        <f xml:space="preserve"> SUM(C29,D29)</f>
        <v>109</v>
      </c>
      <c r="F29" s="13">
        <f>B29/E29</f>
        <v>3.0091743119266057</v>
      </c>
      <c r="G29" s="13">
        <f t="shared" si="0"/>
        <v>3.1295412844036701</v>
      </c>
    </row>
    <row r="30" spans="1:8" x14ac:dyDescent="0.2">
      <c r="A30" t="s">
        <v>8</v>
      </c>
      <c r="B30">
        <v>336</v>
      </c>
      <c r="C30">
        <v>89</v>
      </c>
      <c r="D30">
        <v>7</v>
      </c>
      <c r="E30">
        <f xml:space="preserve"> SUM(C30,D30)</f>
        <v>96</v>
      </c>
      <c r="F30" s="13">
        <f>B30/E30</f>
        <v>3.5</v>
      </c>
      <c r="G30" s="13">
        <f t="shared" si="0"/>
        <v>3.64</v>
      </c>
    </row>
    <row r="31" spans="1:8" x14ac:dyDescent="0.2">
      <c r="A31" t="s">
        <v>18</v>
      </c>
      <c r="B31">
        <v>150</v>
      </c>
      <c r="C31">
        <v>41</v>
      </c>
      <c r="D31">
        <v>0</v>
      </c>
      <c r="E31">
        <f xml:space="preserve"> SUM(C31,D31)</f>
        <v>41</v>
      </c>
      <c r="F31" s="13">
        <f>B31/E31</f>
        <v>3.6585365853658538</v>
      </c>
      <c r="G31" s="13">
        <f t="shared" si="0"/>
        <v>3.8048780487804881</v>
      </c>
    </row>
    <row r="33" spans="1:7" x14ac:dyDescent="0.2">
      <c r="A33" t="s">
        <v>42</v>
      </c>
      <c r="B33" s="10">
        <f>AVERAGE(B2:B31)</f>
        <v>171.43333333333334</v>
      </c>
      <c r="F33" s="13">
        <f>AVERAGE(F2:F31)</f>
        <v>2.0930717890961246</v>
      </c>
      <c r="G33" s="13">
        <f>AVERAGE(G2:G31)</f>
        <v>2.1767946606599704</v>
      </c>
    </row>
    <row r="34" spans="1:7" x14ac:dyDescent="0.2">
      <c r="A34" t="s">
        <v>44</v>
      </c>
      <c r="B34" s="11">
        <f>AVERAGE(B33,B16)</f>
        <v>172.21666666666667</v>
      </c>
      <c r="F34" s="13">
        <f>AVERAGE(F33,F16)</f>
        <v>2.0184460069076131</v>
      </c>
      <c r="G34" s="13">
        <f>AVERAGE(G33,G16)</f>
        <v>2.0991838471839177</v>
      </c>
    </row>
  </sheetData>
  <autoFilter ref="A1:F31" xr:uid="{843E6FC5-B78A-AC49-B968-5450E6946AA2}">
    <sortState xmlns:xlrd2="http://schemas.microsoft.com/office/spreadsheetml/2017/richdata2" ref="A2:F31">
      <sortCondition ref="F1:F3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F38DE-DD19-334E-99E8-9B87399A01B7}">
  <dimension ref="A1:H34"/>
  <sheetViews>
    <sheetView workbookViewId="0">
      <selection activeCell="B2" sqref="B2:B31"/>
    </sheetView>
  </sheetViews>
  <sheetFormatPr baseColWidth="10" defaultRowHeight="16" x14ac:dyDescent="0.2"/>
  <cols>
    <col min="1" max="1" width="21.33203125" customWidth="1"/>
    <col min="2" max="3" width="21.5" customWidth="1"/>
    <col min="4" max="4" width="21.33203125" customWidth="1"/>
    <col min="5" max="5" width="21.6640625" customWidth="1"/>
    <col min="6" max="6" width="21.83203125" customWidth="1"/>
  </cols>
  <sheetData>
    <row r="1" spans="1:6" ht="22" x14ac:dyDescent="0.3">
      <c r="A1" s="2" t="s">
        <v>0</v>
      </c>
      <c r="B1" s="2" t="s">
        <v>1</v>
      </c>
      <c r="C1" s="2" t="s">
        <v>12</v>
      </c>
      <c r="D1" s="2" t="s">
        <v>13</v>
      </c>
      <c r="E1" s="2" t="s">
        <v>36</v>
      </c>
      <c r="F1" s="2" t="s">
        <v>14</v>
      </c>
    </row>
    <row r="2" spans="1:6" x14ac:dyDescent="0.2">
      <c r="A2" s="3" t="s">
        <v>25</v>
      </c>
      <c r="B2" s="3">
        <v>215</v>
      </c>
      <c r="C2" s="3">
        <v>73</v>
      </c>
      <c r="D2" s="3">
        <v>0</v>
      </c>
      <c r="E2" s="3">
        <f xml:space="preserve"> SUM(C2,D2)</f>
        <v>73</v>
      </c>
      <c r="F2" s="16">
        <f xml:space="preserve"> B2/E2</f>
        <v>2.9452054794520546</v>
      </c>
    </row>
    <row r="3" spans="1:6" x14ac:dyDescent="0.2">
      <c r="A3" s="3" t="s">
        <v>27</v>
      </c>
      <c r="B3" s="3">
        <v>201</v>
      </c>
      <c r="C3" s="3">
        <v>90</v>
      </c>
      <c r="D3" s="3">
        <v>6</v>
      </c>
      <c r="E3" s="3">
        <f xml:space="preserve"> SUM(C3,D3)</f>
        <v>96</v>
      </c>
      <c r="F3" s="16">
        <f xml:space="preserve"> B3/E3</f>
        <v>2.09375</v>
      </c>
    </row>
    <row r="4" spans="1:6" x14ac:dyDescent="0.2">
      <c r="A4" s="3" t="s">
        <v>26</v>
      </c>
      <c r="B4" s="3">
        <v>59</v>
      </c>
      <c r="C4" s="3">
        <v>50</v>
      </c>
      <c r="D4" s="3">
        <v>0</v>
      </c>
      <c r="E4" s="3">
        <f xml:space="preserve"> SUM(C4,D4)</f>
        <v>50</v>
      </c>
      <c r="F4" s="16">
        <f xml:space="preserve"> B4/E4</f>
        <v>1.18</v>
      </c>
    </row>
    <row r="5" spans="1:6" x14ac:dyDescent="0.2">
      <c r="A5" s="3" t="s">
        <v>5</v>
      </c>
      <c r="B5" s="3">
        <v>215</v>
      </c>
      <c r="C5" s="3">
        <v>89</v>
      </c>
      <c r="D5" s="3">
        <v>0</v>
      </c>
      <c r="E5" s="3">
        <f xml:space="preserve"> SUM(C5,D5)</f>
        <v>89</v>
      </c>
      <c r="F5" s="16">
        <f xml:space="preserve"> B5/E5</f>
        <v>2.4157303370786516</v>
      </c>
    </row>
    <row r="6" spans="1:6" x14ac:dyDescent="0.2">
      <c r="A6" s="3" t="s">
        <v>7</v>
      </c>
      <c r="B6" s="3">
        <v>205</v>
      </c>
      <c r="C6" s="3">
        <v>104</v>
      </c>
      <c r="D6" s="3">
        <v>1</v>
      </c>
      <c r="E6" s="3">
        <f xml:space="preserve"> SUM(C6,D6)</f>
        <v>105</v>
      </c>
      <c r="F6" s="16">
        <f xml:space="preserve"> B6/E6</f>
        <v>1.9523809523809523</v>
      </c>
    </row>
    <row r="7" spans="1:6" x14ac:dyDescent="0.2">
      <c r="A7" s="3" t="s">
        <v>22</v>
      </c>
      <c r="B7" s="3">
        <v>126</v>
      </c>
      <c r="C7" s="3">
        <v>92</v>
      </c>
      <c r="D7" s="3">
        <v>0</v>
      </c>
      <c r="E7" s="3">
        <f xml:space="preserve"> SUM(C7,D7)</f>
        <v>92</v>
      </c>
      <c r="F7" s="16">
        <f xml:space="preserve"> B7/E7</f>
        <v>1.3695652173913044</v>
      </c>
    </row>
    <row r="8" spans="1:6" x14ac:dyDescent="0.2">
      <c r="A8" s="3" t="s">
        <v>24</v>
      </c>
      <c r="B8" s="3">
        <v>178</v>
      </c>
      <c r="C8" s="3">
        <v>71</v>
      </c>
      <c r="D8" s="3">
        <v>0</v>
      </c>
      <c r="E8" s="3">
        <f xml:space="preserve"> SUM(C8,D8)</f>
        <v>71</v>
      </c>
      <c r="F8" s="16">
        <f xml:space="preserve"> B8/E8</f>
        <v>2.507042253521127</v>
      </c>
    </row>
    <row r="9" spans="1:6" x14ac:dyDescent="0.2">
      <c r="A9" s="3" t="s">
        <v>20</v>
      </c>
      <c r="B9" s="3">
        <v>192</v>
      </c>
      <c r="C9" s="3">
        <v>83</v>
      </c>
      <c r="D9" s="3">
        <v>0</v>
      </c>
      <c r="E9" s="3">
        <f xml:space="preserve"> SUM(C9,D9)</f>
        <v>83</v>
      </c>
      <c r="F9" s="16">
        <f xml:space="preserve"> B9/E9</f>
        <v>2.3132530120481927</v>
      </c>
    </row>
    <row r="10" spans="1:6" x14ac:dyDescent="0.2">
      <c r="A10" s="3" t="s">
        <v>31</v>
      </c>
      <c r="B10" s="3">
        <v>124</v>
      </c>
      <c r="C10" s="3">
        <v>84</v>
      </c>
      <c r="D10" s="3">
        <v>10</v>
      </c>
      <c r="E10" s="3">
        <f xml:space="preserve"> SUM(C10,D10)</f>
        <v>94</v>
      </c>
      <c r="F10" s="16">
        <f xml:space="preserve"> B10/E10</f>
        <v>1.3191489361702127</v>
      </c>
    </row>
    <row r="11" spans="1:6" x14ac:dyDescent="0.2">
      <c r="A11" s="3" t="s">
        <v>30</v>
      </c>
      <c r="B11" s="3">
        <v>236</v>
      </c>
      <c r="C11" s="3">
        <v>100</v>
      </c>
      <c r="D11" s="3">
        <v>0</v>
      </c>
      <c r="E11" s="3">
        <f xml:space="preserve"> SUM(C11,D11)</f>
        <v>100</v>
      </c>
      <c r="F11" s="16">
        <f xml:space="preserve"> B11/E11</f>
        <v>2.36</v>
      </c>
    </row>
    <row r="12" spans="1:6" x14ac:dyDescent="0.2">
      <c r="A12" s="3" t="s">
        <v>34</v>
      </c>
      <c r="B12" s="3">
        <v>195</v>
      </c>
      <c r="C12" s="3">
        <v>79</v>
      </c>
      <c r="D12" s="3">
        <v>0</v>
      </c>
      <c r="E12" s="3">
        <f xml:space="preserve"> SUM(C12,D12)</f>
        <v>79</v>
      </c>
      <c r="F12" s="16">
        <f xml:space="preserve"> B12/E12</f>
        <v>2.4683544303797467</v>
      </c>
    </row>
    <row r="13" spans="1:6" x14ac:dyDescent="0.2">
      <c r="A13" s="3" t="s">
        <v>17</v>
      </c>
      <c r="B13" s="3">
        <v>98</v>
      </c>
      <c r="C13" s="3">
        <v>76</v>
      </c>
      <c r="D13" s="3">
        <v>0</v>
      </c>
      <c r="E13" s="3">
        <f xml:space="preserve"> SUM(C13,D13)</f>
        <v>76</v>
      </c>
      <c r="F13" s="16">
        <f xml:space="preserve"> B13/E13</f>
        <v>1.2894736842105263</v>
      </c>
    </row>
    <row r="14" spans="1:6" x14ac:dyDescent="0.2">
      <c r="A14" s="3" t="s">
        <v>28</v>
      </c>
      <c r="B14" s="3">
        <v>140</v>
      </c>
      <c r="C14" s="3">
        <v>88</v>
      </c>
      <c r="D14" s="3">
        <v>0</v>
      </c>
      <c r="E14" s="3">
        <f xml:space="preserve"> SUM(C14,D14)</f>
        <v>88</v>
      </c>
      <c r="F14" s="16">
        <f xml:space="preserve"> B14/E14</f>
        <v>1.5909090909090908</v>
      </c>
    </row>
    <row r="15" spans="1:6" x14ac:dyDescent="0.2">
      <c r="A15" s="3" t="s">
        <v>10</v>
      </c>
      <c r="B15" s="3">
        <v>110</v>
      </c>
      <c r="C15" s="3">
        <v>84</v>
      </c>
      <c r="D15" s="3">
        <v>0</v>
      </c>
      <c r="E15" s="3">
        <f xml:space="preserve"> SUM(C15,D15)</f>
        <v>84</v>
      </c>
      <c r="F15" s="16">
        <f xml:space="preserve"> B15/E15</f>
        <v>1.3095238095238095</v>
      </c>
    </row>
    <row r="16" spans="1:6" x14ac:dyDescent="0.2">
      <c r="A16" s="3" t="s">
        <v>8</v>
      </c>
      <c r="B16" s="3">
        <v>346</v>
      </c>
      <c r="C16" s="3">
        <v>75</v>
      </c>
      <c r="D16" s="3">
        <v>0</v>
      </c>
      <c r="E16" s="3">
        <f xml:space="preserve"> SUM(C16,D16)</f>
        <v>75</v>
      </c>
      <c r="F16" s="16">
        <f xml:space="preserve"> B16/E16</f>
        <v>4.6133333333333333</v>
      </c>
    </row>
    <row r="17" spans="1:8" x14ac:dyDescent="0.2">
      <c r="A17" s="3" t="s">
        <v>11</v>
      </c>
      <c r="B17" s="3">
        <v>109</v>
      </c>
      <c r="C17" s="3">
        <v>71</v>
      </c>
      <c r="D17" s="3">
        <v>0</v>
      </c>
      <c r="E17" s="3">
        <f xml:space="preserve"> SUM(C17,D17)</f>
        <v>71</v>
      </c>
      <c r="F17" s="16">
        <f xml:space="preserve"> B17/E17</f>
        <v>1.5352112676056338</v>
      </c>
    </row>
    <row r="18" spans="1:8" x14ac:dyDescent="0.2">
      <c r="A18" s="3" t="s">
        <v>2</v>
      </c>
      <c r="B18" s="3">
        <v>66</v>
      </c>
      <c r="C18" s="3">
        <v>101</v>
      </c>
      <c r="D18" s="3">
        <v>0</v>
      </c>
      <c r="E18" s="3">
        <f xml:space="preserve"> SUM(C18,D18)</f>
        <v>101</v>
      </c>
      <c r="F18" s="16">
        <f xml:space="preserve"> B18/E18</f>
        <v>0.65346534653465349</v>
      </c>
    </row>
    <row r="19" spans="1:8" x14ac:dyDescent="0.2">
      <c r="A19" s="3" t="s">
        <v>32</v>
      </c>
      <c r="B19" s="3">
        <v>255</v>
      </c>
      <c r="C19" s="3">
        <v>82</v>
      </c>
      <c r="D19" s="3">
        <v>0</v>
      </c>
      <c r="E19" s="3">
        <f xml:space="preserve"> SUM(C19,D19)</f>
        <v>82</v>
      </c>
      <c r="F19" s="16">
        <f xml:space="preserve"> B19/E19</f>
        <v>3.1097560975609757</v>
      </c>
    </row>
    <row r="20" spans="1:8" x14ac:dyDescent="0.2">
      <c r="A20" s="3" t="s">
        <v>9</v>
      </c>
      <c r="B20" s="3">
        <v>247</v>
      </c>
      <c r="C20" s="3">
        <v>90</v>
      </c>
      <c r="D20" s="3">
        <v>8</v>
      </c>
      <c r="E20" s="3">
        <f xml:space="preserve"> SUM(C20,D20)</f>
        <v>98</v>
      </c>
      <c r="F20" s="16">
        <f xml:space="preserve"> B20/E20</f>
        <v>2.5204081632653059</v>
      </c>
    </row>
    <row r="21" spans="1:8" x14ac:dyDescent="0.2">
      <c r="A21" s="3" t="s">
        <v>23</v>
      </c>
      <c r="B21" s="3">
        <v>70</v>
      </c>
      <c r="C21" s="3">
        <v>76</v>
      </c>
      <c r="D21" s="3">
        <v>0</v>
      </c>
      <c r="E21" s="3">
        <f xml:space="preserve"> SUM(C21,D21)</f>
        <v>76</v>
      </c>
      <c r="F21" s="16">
        <f xml:space="preserve"> B21/E21</f>
        <v>0.92105263157894735</v>
      </c>
    </row>
    <row r="22" spans="1:8" x14ac:dyDescent="0.2">
      <c r="A22" s="6" t="s">
        <v>29</v>
      </c>
      <c r="B22" s="6">
        <v>214</v>
      </c>
      <c r="C22" s="6">
        <v>90</v>
      </c>
      <c r="D22" s="6">
        <v>13</v>
      </c>
      <c r="E22" s="3">
        <f xml:space="preserve"> SUM(C22,D22)</f>
        <v>103</v>
      </c>
      <c r="F22" s="16">
        <f xml:space="preserve"> B22/E22</f>
        <v>2.0776699029126213</v>
      </c>
    </row>
    <row r="23" spans="1:8" x14ac:dyDescent="0.2">
      <c r="A23" s="3" t="s">
        <v>6</v>
      </c>
      <c r="B23" s="3">
        <v>77</v>
      </c>
      <c r="C23" s="3">
        <v>99</v>
      </c>
      <c r="D23" s="3">
        <v>0</v>
      </c>
      <c r="E23" s="3">
        <f xml:space="preserve"> SUM(C23,D23)</f>
        <v>99</v>
      </c>
      <c r="F23" s="16">
        <f xml:space="preserve"> B23/E23</f>
        <v>0.77777777777777779</v>
      </c>
      <c r="H23" t="s">
        <v>57</v>
      </c>
    </row>
    <row r="24" spans="1:8" x14ac:dyDescent="0.2">
      <c r="A24" s="3" t="s">
        <v>4</v>
      </c>
      <c r="B24" s="3">
        <v>199</v>
      </c>
      <c r="C24" s="3">
        <v>78</v>
      </c>
      <c r="D24" s="3">
        <v>0</v>
      </c>
      <c r="E24" s="3">
        <f xml:space="preserve"> SUM(C24,D24)</f>
        <v>78</v>
      </c>
      <c r="F24" s="16">
        <f xml:space="preserve"> B24/E24</f>
        <v>2.5512820512820511</v>
      </c>
    </row>
    <row r="25" spans="1:8" x14ac:dyDescent="0.2">
      <c r="A25" s="3" t="s">
        <v>21</v>
      </c>
      <c r="B25" s="3">
        <v>87</v>
      </c>
      <c r="C25" s="3">
        <v>82</v>
      </c>
      <c r="D25" s="3">
        <v>0</v>
      </c>
      <c r="E25" s="3">
        <f xml:space="preserve"> SUM(C25,D25)</f>
        <v>82</v>
      </c>
      <c r="F25" s="16">
        <f xml:space="preserve"> B25/E25</f>
        <v>1.0609756097560976</v>
      </c>
    </row>
    <row r="26" spans="1:8" x14ac:dyDescent="0.2">
      <c r="A26" s="3" t="s">
        <v>33</v>
      </c>
      <c r="B26" s="3">
        <v>172</v>
      </c>
      <c r="C26" s="3">
        <v>59</v>
      </c>
      <c r="D26" s="3">
        <v>0</v>
      </c>
      <c r="E26" s="3">
        <f xml:space="preserve"> SUM(C26,D26)</f>
        <v>59</v>
      </c>
      <c r="F26" s="16">
        <f xml:space="preserve"> B26/E26</f>
        <v>2.9152542372881354</v>
      </c>
    </row>
    <row r="27" spans="1:8" x14ac:dyDescent="0.2">
      <c r="A27" s="3" t="s">
        <v>19</v>
      </c>
      <c r="B27" s="3">
        <v>91</v>
      </c>
      <c r="C27" s="3">
        <v>56</v>
      </c>
      <c r="D27" s="3">
        <v>0</v>
      </c>
      <c r="E27" s="3">
        <f xml:space="preserve"> SUM(C27,D27)</f>
        <v>56</v>
      </c>
      <c r="F27" s="16">
        <f xml:space="preserve"> B27/E27</f>
        <v>1.625</v>
      </c>
    </row>
    <row r="28" spans="1:8" x14ac:dyDescent="0.2">
      <c r="A28" s="3" t="s">
        <v>15</v>
      </c>
      <c r="B28" s="3">
        <v>121</v>
      </c>
      <c r="C28" s="3">
        <v>78</v>
      </c>
      <c r="D28" s="3">
        <v>0</v>
      </c>
      <c r="E28" s="3">
        <f xml:space="preserve"> SUM(C28,D28)</f>
        <v>78</v>
      </c>
      <c r="F28" s="16">
        <f xml:space="preserve"> B28/E28</f>
        <v>1.5512820512820513</v>
      </c>
    </row>
    <row r="29" spans="1:8" x14ac:dyDescent="0.2">
      <c r="A29" s="3" t="s">
        <v>16</v>
      </c>
      <c r="B29" s="3">
        <v>158</v>
      </c>
      <c r="C29" s="3">
        <v>87</v>
      </c>
      <c r="D29" s="3">
        <v>3</v>
      </c>
      <c r="E29" s="3">
        <f xml:space="preserve"> SUM(C29,D29)</f>
        <v>90</v>
      </c>
      <c r="F29" s="16">
        <f xml:space="preserve"> B29/E29</f>
        <v>1.7555555555555555</v>
      </c>
    </row>
    <row r="30" spans="1:8" x14ac:dyDescent="0.2">
      <c r="A30" s="3" t="s">
        <v>18</v>
      </c>
      <c r="B30" s="3">
        <v>177</v>
      </c>
      <c r="C30" s="3">
        <v>61</v>
      </c>
      <c r="D30" s="3">
        <v>0</v>
      </c>
      <c r="E30" s="3">
        <f xml:space="preserve"> SUM(C30,D30)</f>
        <v>61</v>
      </c>
      <c r="F30" s="16">
        <f xml:space="preserve"> B30/E30</f>
        <v>2.901639344262295</v>
      </c>
    </row>
    <row r="31" spans="1:8" x14ac:dyDescent="0.2">
      <c r="A31" s="3" t="s">
        <v>3</v>
      </c>
      <c r="B31" s="3">
        <v>274</v>
      </c>
      <c r="C31" s="3">
        <v>82</v>
      </c>
      <c r="D31" s="3">
        <v>0</v>
      </c>
      <c r="E31" s="3">
        <f xml:space="preserve"> SUM(C31,D31)</f>
        <v>82</v>
      </c>
      <c r="F31" s="16">
        <f xml:space="preserve"> B31/E31</f>
        <v>3.3414634146341462</v>
      </c>
    </row>
    <row r="33" spans="1:6" x14ac:dyDescent="0.2">
      <c r="A33" s="3" t="s">
        <v>42</v>
      </c>
      <c r="B33" s="10">
        <f>AVERAGE(B2:B31)</f>
        <v>165.23333333333332</v>
      </c>
      <c r="F33" s="13">
        <f xml:space="preserve"> AVERAGE(F2:F31)</f>
        <v>2.0341821329231751</v>
      </c>
    </row>
    <row r="34" spans="1:6" x14ac:dyDescent="0.2">
      <c r="A34" s="3" t="s">
        <v>46</v>
      </c>
      <c r="B34" s="11">
        <f>AVERAGE(B33,B16)</f>
        <v>255.61666666666667</v>
      </c>
      <c r="F34" s="13">
        <f xml:space="preserve"> AVERAGE(F16,F33)</f>
        <v>3.3237577331282542</v>
      </c>
    </row>
  </sheetData>
  <autoFilter ref="A1:F31" xr:uid="{06CF38DE-DD19-334E-99E8-9B87399A01B7}">
    <sortState xmlns:xlrd2="http://schemas.microsoft.com/office/spreadsheetml/2017/richdata2" ref="A2:F31">
      <sortCondition ref="A1:A3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BD470-2AF8-F54C-8873-7097342E1BED}">
  <dimension ref="A1:I34"/>
  <sheetViews>
    <sheetView workbookViewId="0">
      <selection activeCell="B2" sqref="B2:B31"/>
    </sheetView>
  </sheetViews>
  <sheetFormatPr baseColWidth="10" defaultRowHeight="16" x14ac:dyDescent="0.2"/>
  <cols>
    <col min="1" max="1" width="16.83203125" customWidth="1"/>
    <col min="2" max="2" width="21.33203125" customWidth="1"/>
    <col min="3" max="4" width="21.5" customWidth="1"/>
    <col min="5" max="5" width="20.83203125" customWidth="1"/>
    <col min="6" max="6" width="21.6640625" customWidth="1"/>
  </cols>
  <sheetData>
    <row r="1" spans="1:6" ht="22" x14ac:dyDescent="0.3">
      <c r="A1" s="2" t="s">
        <v>0</v>
      </c>
      <c r="B1" s="2" t="s">
        <v>1</v>
      </c>
      <c r="C1" s="2" t="s">
        <v>12</v>
      </c>
      <c r="D1" s="2" t="s">
        <v>13</v>
      </c>
      <c r="E1" s="2" t="s">
        <v>36</v>
      </c>
      <c r="F1" s="2" t="s">
        <v>14</v>
      </c>
    </row>
    <row r="2" spans="1:6" x14ac:dyDescent="0.2">
      <c r="A2" s="3" t="s">
        <v>25</v>
      </c>
      <c r="B2" s="3">
        <v>180</v>
      </c>
      <c r="C2" s="3">
        <v>73</v>
      </c>
      <c r="D2" s="3">
        <v>0</v>
      </c>
      <c r="E2" s="3">
        <f xml:space="preserve"> SUM(C2,D2)</f>
        <v>73</v>
      </c>
      <c r="F2" s="16">
        <f xml:space="preserve"> B2/E2</f>
        <v>2.4657534246575343</v>
      </c>
    </row>
    <row r="3" spans="1:6" x14ac:dyDescent="0.2">
      <c r="A3" s="6" t="s">
        <v>27</v>
      </c>
      <c r="B3" s="6">
        <v>179</v>
      </c>
      <c r="C3" s="6">
        <v>106</v>
      </c>
      <c r="D3" s="6">
        <v>11</v>
      </c>
      <c r="E3" s="3">
        <f xml:space="preserve"> SUM(C3,D3)</f>
        <v>117</v>
      </c>
      <c r="F3" s="16">
        <f xml:space="preserve"> B3/E3</f>
        <v>1.5299145299145298</v>
      </c>
    </row>
    <row r="4" spans="1:6" x14ac:dyDescent="0.2">
      <c r="A4" s="3" t="s">
        <v>26</v>
      </c>
      <c r="B4" s="3">
        <v>51</v>
      </c>
      <c r="C4" s="3">
        <v>60</v>
      </c>
      <c r="D4" s="3">
        <v>0</v>
      </c>
      <c r="E4" s="3">
        <f xml:space="preserve"> SUM(C4,D4)</f>
        <v>60</v>
      </c>
      <c r="F4" s="16">
        <f xml:space="preserve"> B4/E4</f>
        <v>0.85</v>
      </c>
    </row>
    <row r="5" spans="1:6" x14ac:dyDescent="0.2">
      <c r="A5" s="3" t="s">
        <v>5</v>
      </c>
      <c r="B5" s="3">
        <v>175</v>
      </c>
      <c r="C5" s="3">
        <v>92</v>
      </c>
      <c r="D5" s="3">
        <v>0</v>
      </c>
      <c r="E5" s="3">
        <f xml:space="preserve"> SUM(C5,D5)</f>
        <v>92</v>
      </c>
      <c r="F5" s="16">
        <f xml:space="preserve"> B5/E5</f>
        <v>1.9021739130434783</v>
      </c>
    </row>
    <row r="6" spans="1:6" x14ac:dyDescent="0.2">
      <c r="A6" s="3" t="s">
        <v>7</v>
      </c>
      <c r="B6" s="3">
        <v>187</v>
      </c>
      <c r="C6" s="3">
        <v>101</v>
      </c>
      <c r="D6" s="3">
        <v>1</v>
      </c>
      <c r="E6" s="3">
        <f xml:space="preserve"> SUM(C6,D6)</f>
        <v>102</v>
      </c>
      <c r="F6" s="16">
        <f xml:space="preserve"> B6/E6</f>
        <v>1.8333333333333333</v>
      </c>
    </row>
    <row r="7" spans="1:6" x14ac:dyDescent="0.2">
      <c r="A7" s="3" t="s">
        <v>22</v>
      </c>
      <c r="B7" s="3">
        <v>138</v>
      </c>
      <c r="C7" s="3">
        <v>86</v>
      </c>
      <c r="D7" s="3">
        <v>0</v>
      </c>
      <c r="E7" s="3">
        <f xml:space="preserve"> SUM(C7,D7)</f>
        <v>86</v>
      </c>
      <c r="F7" s="16">
        <f xml:space="preserve"> B7/E7</f>
        <v>1.6046511627906976</v>
      </c>
    </row>
    <row r="8" spans="1:6" x14ac:dyDescent="0.2">
      <c r="A8" s="3" t="s">
        <v>24</v>
      </c>
      <c r="B8" s="3">
        <v>163</v>
      </c>
      <c r="C8" s="3">
        <v>93</v>
      </c>
      <c r="D8" s="3">
        <v>0</v>
      </c>
      <c r="E8" s="3">
        <f xml:space="preserve"> SUM(C8,D8)</f>
        <v>93</v>
      </c>
      <c r="F8" s="16">
        <f xml:space="preserve"> B8/E8</f>
        <v>1.7526881720430108</v>
      </c>
    </row>
    <row r="9" spans="1:6" x14ac:dyDescent="0.2">
      <c r="A9" s="3" t="s">
        <v>20</v>
      </c>
      <c r="B9" s="3">
        <v>147</v>
      </c>
      <c r="C9" s="3">
        <v>74</v>
      </c>
      <c r="D9" s="3">
        <v>0</v>
      </c>
      <c r="E9" s="3">
        <f xml:space="preserve"> SUM(C9,D9)</f>
        <v>74</v>
      </c>
      <c r="F9" s="16">
        <f xml:space="preserve"> B9/E9</f>
        <v>1.9864864864864864</v>
      </c>
    </row>
    <row r="10" spans="1:6" x14ac:dyDescent="0.2">
      <c r="A10" s="3" t="s">
        <v>31</v>
      </c>
      <c r="B10" s="3">
        <v>93</v>
      </c>
      <c r="C10" s="3">
        <v>74</v>
      </c>
      <c r="D10" s="3">
        <v>0</v>
      </c>
      <c r="E10" s="3">
        <f xml:space="preserve"> SUM(C10,D10)</f>
        <v>74</v>
      </c>
      <c r="F10" s="16">
        <f xml:space="preserve"> B10/E10</f>
        <v>1.2567567567567568</v>
      </c>
    </row>
    <row r="11" spans="1:6" x14ac:dyDescent="0.2">
      <c r="A11" s="3" t="s">
        <v>30</v>
      </c>
      <c r="B11" s="3">
        <v>262</v>
      </c>
      <c r="C11" s="3">
        <v>111</v>
      </c>
      <c r="D11" s="3">
        <v>1</v>
      </c>
      <c r="E11" s="3">
        <f xml:space="preserve"> SUM(C11,D11)</f>
        <v>112</v>
      </c>
      <c r="F11" s="16">
        <f xml:space="preserve"> B11/E11</f>
        <v>2.3392857142857144</v>
      </c>
    </row>
    <row r="12" spans="1:6" x14ac:dyDescent="0.2">
      <c r="A12" s="3" t="s">
        <v>34</v>
      </c>
      <c r="B12" s="3">
        <v>162</v>
      </c>
      <c r="C12" s="3">
        <v>81</v>
      </c>
      <c r="D12" s="3">
        <v>0</v>
      </c>
      <c r="E12" s="3">
        <f xml:space="preserve"> SUM(C12,D12)</f>
        <v>81</v>
      </c>
      <c r="F12" s="16">
        <f xml:space="preserve"> B12/E12</f>
        <v>2</v>
      </c>
    </row>
    <row r="13" spans="1:6" x14ac:dyDescent="0.2">
      <c r="A13" s="3" t="s">
        <v>17</v>
      </c>
      <c r="B13" s="3">
        <v>69</v>
      </c>
      <c r="C13" s="3">
        <v>92</v>
      </c>
      <c r="D13" s="3">
        <v>4</v>
      </c>
      <c r="E13" s="3">
        <f xml:space="preserve"> SUM(C13,D13)</f>
        <v>96</v>
      </c>
      <c r="F13" s="16">
        <f xml:space="preserve"> B13/E13</f>
        <v>0.71875</v>
      </c>
    </row>
    <row r="14" spans="1:6" x14ac:dyDescent="0.2">
      <c r="A14" s="3" t="s">
        <v>28</v>
      </c>
      <c r="B14" s="3">
        <v>118</v>
      </c>
      <c r="C14" s="3">
        <v>90</v>
      </c>
      <c r="D14" s="3">
        <v>2</v>
      </c>
      <c r="E14" s="3">
        <f xml:space="preserve"> SUM(C14,D14)</f>
        <v>92</v>
      </c>
      <c r="F14" s="16">
        <f xml:space="preserve"> B14/E14</f>
        <v>1.2826086956521738</v>
      </c>
    </row>
    <row r="15" spans="1:6" x14ac:dyDescent="0.2">
      <c r="A15" s="3" t="s">
        <v>10</v>
      </c>
      <c r="B15" s="3">
        <v>84</v>
      </c>
      <c r="C15" s="3">
        <v>69</v>
      </c>
      <c r="D15" s="3">
        <v>0</v>
      </c>
      <c r="E15" s="3">
        <f xml:space="preserve"> SUM(C15,D15)</f>
        <v>69</v>
      </c>
      <c r="F15" s="16">
        <f xml:space="preserve"> B15/E15</f>
        <v>1.2173913043478262</v>
      </c>
    </row>
    <row r="16" spans="1:6" x14ac:dyDescent="0.2">
      <c r="A16" s="3" t="s">
        <v>8</v>
      </c>
      <c r="B16" s="3">
        <v>283</v>
      </c>
      <c r="C16" s="3">
        <v>101</v>
      </c>
      <c r="D16" s="3">
        <v>1</v>
      </c>
      <c r="E16" s="3">
        <f xml:space="preserve"> SUM(C16,D16)</f>
        <v>102</v>
      </c>
      <c r="F16" s="16">
        <f xml:space="preserve"> B16/E16</f>
        <v>2.7745098039215685</v>
      </c>
    </row>
    <row r="17" spans="1:9" x14ac:dyDescent="0.2">
      <c r="A17" s="3" t="s">
        <v>11</v>
      </c>
      <c r="B17" s="3">
        <v>134</v>
      </c>
      <c r="C17" s="3">
        <v>55</v>
      </c>
      <c r="D17" s="3">
        <v>0</v>
      </c>
      <c r="E17" s="3">
        <f xml:space="preserve"> SUM(C17,D17)</f>
        <v>55</v>
      </c>
      <c r="F17" s="16">
        <f xml:space="preserve"> B17/E17</f>
        <v>2.4363636363636365</v>
      </c>
    </row>
    <row r="18" spans="1:9" x14ac:dyDescent="0.2">
      <c r="A18" s="3" t="s">
        <v>2</v>
      </c>
      <c r="B18" s="3">
        <v>63</v>
      </c>
      <c r="C18" s="3">
        <v>83</v>
      </c>
      <c r="D18" s="3">
        <v>0</v>
      </c>
      <c r="E18" s="3">
        <f xml:space="preserve"> SUM(C18,D18)</f>
        <v>83</v>
      </c>
      <c r="F18" s="16">
        <f xml:space="preserve"> B18/E18</f>
        <v>0.75903614457831325</v>
      </c>
    </row>
    <row r="19" spans="1:9" x14ac:dyDescent="0.2">
      <c r="A19" s="3" t="s">
        <v>32</v>
      </c>
      <c r="B19" s="3">
        <v>214</v>
      </c>
      <c r="C19" s="3">
        <v>89</v>
      </c>
      <c r="D19" s="3">
        <v>6</v>
      </c>
      <c r="E19" s="3">
        <f xml:space="preserve"> SUM(C19,D19)</f>
        <v>95</v>
      </c>
      <c r="F19" s="16">
        <f xml:space="preserve"> B19/E19</f>
        <v>2.2526315789473683</v>
      </c>
    </row>
    <row r="20" spans="1:9" x14ac:dyDescent="0.2">
      <c r="A20" s="3" t="s">
        <v>9</v>
      </c>
      <c r="B20" s="3">
        <v>243</v>
      </c>
      <c r="C20" s="3">
        <v>87</v>
      </c>
      <c r="D20" s="3">
        <v>11</v>
      </c>
      <c r="E20" s="3">
        <f xml:space="preserve"> SUM(C20,D20)</f>
        <v>98</v>
      </c>
      <c r="F20" s="16">
        <f xml:space="preserve"> B20/E20</f>
        <v>2.4795918367346941</v>
      </c>
    </row>
    <row r="21" spans="1:9" x14ac:dyDescent="0.2">
      <c r="A21" s="3" t="s">
        <v>23</v>
      </c>
      <c r="B21" s="3">
        <v>59</v>
      </c>
      <c r="C21" s="3">
        <v>62</v>
      </c>
      <c r="D21" s="3">
        <v>0</v>
      </c>
      <c r="E21" s="3">
        <f xml:space="preserve"> SUM(C21,D21)</f>
        <v>62</v>
      </c>
      <c r="F21" s="16">
        <f xml:space="preserve"> B21/E21</f>
        <v>0.95161290322580649</v>
      </c>
    </row>
    <row r="22" spans="1:9" x14ac:dyDescent="0.2">
      <c r="A22" s="3" t="s">
        <v>29</v>
      </c>
      <c r="B22" s="3">
        <v>146</v>
      </c>
      <c r="C22" s="3">
        <v>68</v>
      </c>
      <c r="D22" s="3">
        <v>0</v>
      </c>
      <c r="E22" s="3">
        <f xml:space="preserve"> SUM(C22,D22)</f>
        <v>68</v>
      </c>
      <c r="F22" s="16">
        <f xml:space="preserve"> B22/E22</f>
        <v>2.1470588235294117</v>
      </c>
    </row>
    <row r="23" spans="1:9" x14ac:dyDescent="0.2">
      <c r="A23" s="3" t="s">
        <v>6</v>
      </c>
      <c r="B23" s="3">
        <v>85</v>
      </c>
      <c r="C23" s="3">
        <v>86</v>
      </c>
      <c r="D23" s="3">
        <v>0</v>
      </c>
      <c r="E23" s="3">
        <f xml:space="preserve"> SUM(C23,D23)</f>
        <v>86</v>
      </c>
      <c r="F23" s="16">
        <f xml:space="preserve"> B23/E23</f>
        <v>0.98837209302325579</v>
      </c>
    </row>
    <row r="24" spans="1:9" x14ac:dyDescent="0.2">
      <c r="A24" s="3" t="s">
        <v>4</v>
      </c>
      <c r="B24" s="3">
        <v>193</v>
      </c>
      <c r="C24" s="3">
        <v>78</v>
      </c>
      <c r="D24" s="3">
        <v>0</v>
      </c>
      <c r="E24" s="3">
        <f xml:space="preserve"> SUM(C24,D24)</f>
        <v>78</v>
      </c>
      <c r="F24" s="16">
        <f xml:space="preserve"> B24/E24</f>
        <v>2.4743589743589745</v>
      </c>
      <c r="I24" t="s">
        <v>57</v>
      </c>
    </row>
    <row r="25" spans="1:9" x14ac:dyDescent="0.2">
      <c r="A25" s="3" t="s">
        <v>21</v>
      </c>
      <c r="B25" s="3">
        <v>107</v>
      </c>
      <c r="C25" s="3">
        <v>62</v>
      </c>
      <c r="D25" s="3">
        <v>0</v>
      </c>
      <c r="E25" s="3">
        <f xml:space="preserve"> SUM(C25,D25)</f>
        <v>62</v>
      </c>
      <c r="F25" s="16">
        <f xml:space="preserve"> B25/E25</f>
        <v>1.7258064516129032</v>
      </c>
    </row>
    <row r="26" spans="1:9" x14ac:dyDescent="0.2">
      <c r="A26" s="3" t="s">
        <v>33</v>
      </c>
      <c r="B26" s="3">
        <v>136</v>
      </c>
      <c r="C26" s="3">
        <v>68</v>
      </c>
      <c r="D26" s="3">
        <v>0</v>
      </c>
      <c r="E26" s="3">
        <f xml:space="preserve"> SUM(C26,D26)</f>
        <v>68</v>
      </c>
      <c r="F26" s="16">
        <f xml:space="preserve"> B26/E26</f>
        <v>2</v>
      </c>
    </row>
    <row r="27" spans="1:9" x14ac:dyDescent="0.2">
      <c r="A27" s="3" t="s">
        <v>19</v>
      </c>
      <c r="B27" s="3">
        <v>88</v>
      </c>
      <c r="C27" s="3">
        <v>65</v>
      </c>
      <c r="D27" s="3">
        <v>0</v>
      </c>
      <c r="E27" s="3">
        <f xml:space="preserve"> SUM(C27,D27)</f>
        <v>65</v>
      </c>
      <c r="F27" s="16">
        <f xml:space="preserve"> B27/E27</f>
        <v>1.3538461538461539</v>
      </c>
    </row>
    <row r="28" spans="1:9" x14ac:dyDescent="0.2">
      <c r="A28" s="3" t="s">
        <v>15</v>
      </c>
      <c r="B28" s="3">
        <v>130</v>
      </c>
      <c r="C28" s="3">
        <v>66</v>
      </c>
      <c r="D28" s="3">
        <v>0</v>
      </c>
      <c r="E28" s="3">
        <f xml:space="preserve"> SUM(C28,D28)</f>
        <v>66</v>
      </c>
      <c r="F28" s="16">
        <f xml:space="preserve"> B28/E28</f>
        <v>1.9696969696969697</v>
      </c>
    </row>
    <row r="29" spans="1:9" x14ac:dyDescent="0.2">
      <c r="A29" s="3" t="s">
        <v>16</v>
      </c>
      <c r="B29" s="3">
        <v>141</v>
      </c>
      <c r="C29" s="3">
        <v>78</v>
      </c>
      <c r="D29" s="3">
        <v>0</v>
      </c>
      <c r="E29" s="3">
        <f xml:space="preserve"> SUM(C29,D29)</f>
        <v>78</v>
      </c>
      <c r="F29" s="16">
        <f xml:space="preserve"> B29/E29</f>
        <v>1.8076923076923077</v>
      </c>
    </row>
    <row r="30" spans="1:9" x14ac:dyDescent="0.2">
      <c r="A30" s="3" t="s">
        <v>18</v>
      </c>
      <c r="B30" s="3">
        <v>193</v>
      </c>
      <c r="C30" s="3">
        <v>81</v>
      </c>
      <c r="D30" s="3">
        <v>0</v>
      </c>
      <c r="E30" s="3">
        <f xml:space="preserve"> SUM(C30,D30)</f>
        <v>81</v>
      </c>
      <c r="F30" s="16">
        <f xml:space="preserve"> B30/E30</f>
        <v>2.382716049382716</v>
      </c>
    </row>
    <row r="31" spans="1:9" x14ac:dyDescent="0.2">
      <c r="A31" s="3" t="s">
        <v>3</v>
      </c>
      <c r="B31" s="3">
        <v>249</v>
      </c>
      <c r="C31" s="3">
        <v>99</v>
      </c>
      <c r="D31" s="3">
        <v>3</v>
      </c>
      <c r="E31" s="3">
        <f xml:space="preserve"> SUM(C31,D31)</f>
        <v>102</v>
      </c>
      <c r="F31" s="16">
        <f xml:space="preserve"> B31/E31</f>
        <v>2.4411764705882355</v>
      </c>
    </row>
    <row r="33" spans="1:6" x14ac:dyDescent="0.2">
      <c r="A33" s="3" t="s">
        <v>43</v>
      </c>
      <c r="B33" s="10">
        <f>AVERAGE(B2:B31)</f>
        <v>149.06666666666666</v>
      </c>
      <c r="F33" s="13">
        <f xml:space="preserve"> AVERAGE(F2:F31)</f>
        <v>1.7894754563604622</v>
      </c>
    </row>
    <row r="34" spans="1:6" x14ac:dyDescent="0.2">
      <c r="A34" s="3" t="s">
        <v>44</v>
      </c>
      <c r="B34" s="11">
        <f>AVERAGE(B33,B16)</f>
        <v>216.03333333333333</v>
      </c>
      <c r="F34" s="13">
        <f xml:space="preserve"> AVERAGE(F33,F16)</f>
        <v>2.2819926301410156</v>
      </c>
    </row>
  </sheetData>
  <autoFilter ref="A1:F31" xr:uid="{063BD470-2AF8-F54C-8873-7097342E1BED}">
    <sortState xmlns:xlrd2="http://schemas.microsoft.com/office/spreadsheetml/2017/richdata2" ref="A2:F31">
      <sortCondition ref="A1:A31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C1DD41-7FEA-7741-8861-5C1FD1CA4CA8}">
  <dimension ref="A1:I34"/>
  <sheetViews>
    <sheetView workbookViewId="0">
      <selection activeCell="B2" sqref="B2:B31"/>
    </sheetView>
  </sheetViews>
  <sheetFormatPr baseColWidth="10" defaultRowHeight="16" x14ac:dyDescent="0.2"/>
  <cols>
    <col min="1" max="1" width="17.5" customWidth="1"/>
    <col min="2" max="2" width="22" customWidth="1"/>
    <col min="3" max="3" width="21.5" customWidth="1"/>
    <col min="4" max="4" width="22.5" customWidth="1"/>
    <col min="5" max="5" width="21.83203125" customWidth="1"/>
    <col min="6" max="6" width="21.5" customWidth="1"/>
  </cols>
  <sheetData>
    <row r="1" spans="1:9" ht="22" x14ac:dyDescent="0.3">
      <c r="A1" s="2" t="s">
        <v>0</v>
      </c>
      <c r="B1" s="2" t="s">
        <v>1</v>
      </c>
      <c r="C1" s="2" t="s">
        <v>12</v>
      </c>
      <c r="D1" s="2" t="s">
        <v>13</v>
      </c>
      <c r="E1" s="2" t="s">
        <v>36</v>
      </c>
      <c r="F1" s="2" t="s">
        <v>14</v>
      </c>
    </row>
    <row r="2" spans="1:9" x14ac:dyDescent="0.2">
      <c r="A2" s="3" t="s">
        <v>25</v>
      </c>
      <c r="B2" s="3">
        <v>182</v>
      </c>
      <c r="C2" s="3">
        <v>77</v>
      </c>
      <c r="D2" s="3">
        <v>0</v>
      </c>
      <c r="E2" s="3">
        <f xml:space="preserve"> SUM(C2,D2)</f>
        <v>77</v>
      </c>
      <c r="F2" s="16">
        <f xml:space="preserve"> B2/E2</f>
        <v>2.3636363636363638</v>
      </c>
    </row>
    <row r="3" spans="1:9" x14ac:dyDescent="0.2">
      <c r="A3" s="3" t="s">
        <v>27</v>
      </c>
      <c r="B3" s="3">
        <v>189</v>
      </c>
      <c r="C3" s="3">
        <v>95</v>
      </c>
      <c r="D3" s="3">
        <v>9</v>
      </c>
      <c r="E3" s="3">
        <f xml:space="preserve"> SUM(C3,D3)</f>
        <v>104</v>
      </c>
      <c r="F3" s="16">
        <f xml:space="preserve"> B3/E3</f>
        <v>1.8173076923076923</v>
      </c>
    </row>
    <row r="4" spans="1:9" x14ac:dyDescent="0.2">
      <c r="A4" s="3" t="s">
        <v>26</v>
      </c>
      <c r="B4" s="3">
        <v>87</v>
      </c>
      <c r="C4" s="3">
        <v>86</v>
      </c>
      <c r="D4" s="3">
        <v>0</v>
      </c>
      <c r="E4" s="3">
        <f xml:space="preserve"> SUM(C4,D4)</f>
        <v>86</v>
      </c>
      <c r="F4" s="16">
        <f xml:space="preserve"> B4/E4</f>
        <v>1.0116279069767442</v>
      </c>
    </row>
    <row r="5" spans="1:9" x14ac:dyDescent="0.2">
      <c r="A5" s="3" t="s">
        <v>5</v>
      </c>
      <c r="B5" s="3">
        <v>147</v>
      </c>
      <c r="C5" s="3">
        <v>91</v>
      </c>
      <c r="D5" s="3">
        <v>0</v>
      </c>
      <c r="E5" s="3">
        <f xml:space="preserve"> SUM(C5,D5)</f>
        <v>91</v>
      </c>
      <c r="F5" s="16">
        <f xml:space="preserve"> B5/E5</f>
        <v>1.6153846153846154</v>
      </c>
    </row>
    <row r="6" spans="1:9" x14ac:dyDescent="0.2">
      <c r="A6" s="6" t="s">
        <v>7</v>
      </c>
      <c r="B6" s="6">
        <v>146</v>
      </c>
      <c r="C6" s="6">
        <v>88</v>
      </c>
      <c r="D6" s="6">
        <v>11</v>
      </c>
      <c r="E6" s="3">
        <f xml:space="preserve"> SUM(C6,D6)</f>
        <v>99</v>
      </c>
      <c r="F6" s="16">
        <f xml:space="preserve"> B6/E6</f>
        <v>1.4747474747474747</v>
      </c>
    </row>
    <row r="7" spans="1:9" x14ac:dyDescent="0.2">
      <c r="A7" s="3" t="s">
        <v>22</v>
      </c>
      <c r="B7" s="3">
        <v>103</v>
      </c>
      <c r="C7" s="3">
        <v>95</v>
      </c>
      <c r="D7" s="3">
        <v>1</v>
      </c>
      <c r="E7" s="3">
        <f xml:space="preserve"> SUM(C7,D7)</f>
        <v>96</v>
      </c>
      <c r="F7" s="16">
        <f xml:space="preserve"> B7/E7</f>
        <v>1.0729166666666667</v>
      </c>
    </row>
    <row r="8" spans="1:9" x14ac:dyDescent="0.2">
      <c r="A8" s="3" t="s">
        <v>24</v>
      </c>
      <c r="B8" s="3">
        <v>168</v>
      </c>
      <c r="C8" s="3">
        <v>90</v>
      </c>
      <c r="D8" s="3">
        <v>0</v>
      </c>
      <c r="E8" s="3">
        <f xml:space="preserve"> SUM(C8,D8)</f>
        <v>90</v>
      </c>
      <c r="F8" s="16">
        <f xml:space="preserve"> B8/E8</f>
        <v>1.8666666666666667</v>
      </c>
    </row>
    <row r="9" spans="1:9" x14ac:dyDescent="0.2">
      <c r="A9" s="3" t="s">
        <v>20</v>
      </c>
      <c r="B9" s="3">
        <v>150</v>
      </c>
      <c r="C9" s="3">
        <v>71</v>
      </c>
      <c r="D9" s="3">
        <v>0</v>
      </c>
      <c r="E9" s="3">
        <f xml:space="preserve"> SUM(C9,D9)</f>
        <v>71</v>
      </c>
      <c r="F9" s="16">
        <f xml:space="preserve"> B9/E9</f>
        <v>2.112676056338028</v>
      </c>
    </row>
    <row r="10" spans="1:9" x14ac:dyDescent="0.2">
      <c r="A10" s="3" t="s">
        <v>31</v>
      </c>
      <c r="B10" s="3">
        <v>95</v>
      </c>
      <c r="C10" s="3">
        <v>52</v>
      </c>
      <c r="D10" s="3">
        <v>0</v>
      </c>
      <c r="E10" s="3">
        <f xml:space="preserve"> SUM(C10,D10)</f>
        <v>52</v>
      </c>
      <c r="F10" s="16">
        <f xml:space="preserve"> B10/E10</f>
        <v>1.8269230769230769</v>
      </c>
    </row>
    <row r="11" spans="1:9" x14ac:dyDescent="0.2">
      <c r="A11" s="3" t="s">
        <v>30</v>
      </c>
      <c r="B11" s="3">
        <v>286</v>
      </c>
      <c r="C11" s="3">
        <v>106</v>
      </c>
      <c r="D11" s="3">
        <v>6</v>
      </c>
      <c r="E11" s="3">
        <f xml:space="preserve"> SUM(C11,D11)</f>
        <v>112</v>
      </c>
      <c r="F11" s="16">
        <f xml:space="preserve"> B11/E11</f>
        <v>2.5535714285714284</v>
      </c>
      <c r="I11" s="19" t="s">
        <v>63</v>
      </c>
    </row>
    <row r="12" spans="1:9" x14ac:dyDescent="0.2">
      <c r="A12" s="3" t="s">
        <v>34</v>
      </c>
      <c r="B12" s="3">
        <v>162</v>
      </c>
      <c r="C12" s="3">
        <v>107</v>
      </c>
      <c r="D12" s="3">
        <v>2</v>
      </c>
      <c r="E12" s="3">
        <f xml:space="preserve"> SUM(C12,D12)</f>
        <v>109</v>
      </c>
      <c r="F12" s="16">
        <f xml:space="preserve"> B12/E12</f>
        <v>1.4862385321100917</v>
      </c>
    </row>
    <row r="13" spans="1:9" x14ac:dyDescent="0.2">
      <c r="A13" s="3" t="s">
        <v>17</v>
      </c>
      <c r="B13" s="3">
        <v>51</v>
      </c>
      <c r="C13" s="3">
        <v>80</v>
      </c>
      <c r="D13" s="3">
        <v>0</v>
      </c>
      <c r="E13" s="3">
        <f xml:space="preserve"> SUM(C13,D13)</f>
        <v>80</v>
      </c>
      <c r="F13" s="16">
        <f xml:space="preserve"> B13/E13</f>
        <v>0.63749999999999996</v>
      </c>
    </row>
    <row r="14" spans="1:9" x14ac:dyDescent="0.2">
      <c r="A14" s="3" t="s">
        <v>28</v>
      </c>
      <c r="B14" s="3">
        <v>87</v>
      </c>
      <c r="C14" s="3">
        <v>90</v>
      </c>
      <c r="D14" s="3">
        <v>0</v>
      </c>
      <c r="E14" s="3">
        <f xml:space="preserve"> SUM(C14,D14)</f>
        <v>90</v>
      </c>
      <c r="F14" s="16">
        <f xml:space="preserve"> B14/E14</f>
        <v>0.96666666666666667</v>
      </c>
    </row>
    <row r="15" spans="1:9" x14ac:dyDescent="0.2">
      <c r="A15" s="3" t="s">
        <v>10</v>
      </c>
      <c r="B15" s="3">
        <v>63</v>
      </c>
      <c r="C15" s="3">
        <v>67</v>
      </c>
      <c r="D15" s="3">
        <v>0</v>
      </c>
      <c r="E15" s="3">
        <f xml:space="preserve"> SUM(C15,D15)</f>
        <v>67</v>
      </c>
      <c r="F15" s="16">
        <f xml:space="preserve"> B15/E15</f>
        <v>0.94029850746268662</v>
      </c>
    </row>
    <row r="16" spans="1:9" x14ac:dyDescent="0.2">
      <c r="A16" s="3" t="s">
        <v>8</v>
      </c>
      <c r="B16" s="3">
        <v>204</v>
      </c>
      <c r="C16" s="3">
        <v>77</v>
      </c>
      <c r="D16" s="3">
        <v>0</v>
      </c>
      <c r="E16" s="3">
        <f xml:space="preserve"> SUM(C16,D16)</f>
        <v>77</v>
      </c>
      <c r="F16" s="16">
        <f xml:space="preserve"> B16/E16</f>
        <v>2.6493506493506493</v>
      </c>
    </row>
    <row r="17" spans="1:8" x14ac:dyDescent="0.2">
      <c r="A17" s="3" t="s">
        <v>11</v>
      </c>
      <c r="B17" s="3">
        <v>162</v>
      </c>
      <c r="C17" s="3">
        <v>65</v>
      </c>
      <c r="D17" s="3">
        <v>0</v>
      </c>
      <c r="E17" s="3">
        <f xml:space="preserve"> SUM(C17,D17)</f>
        <v>65</v>
      </c>
      <c r="F17" s="16">
        <f xml:space="preserve"> B17/E17</f>
        <v>2.4923076923076923</v>
      </c>
    </row>
    <row r="18" spans="1:8" x14ac:dyDescent="0.2">
      <c r="A18" s="3" t="s">
        <v>2</v>
      </c>
      <c r="B18" s="3">
        <v>63</v>
      </c>
      <c r="C18" s="3">
        <v>52</v>
      </c>
      <c r="D18" s="3">
        <v>0</v>
      </c>
      <c r="E18" s="3">
        <f xml:space="preserve"> SUM(C18,D18)</f>
        <v>52</v>
      </c>
      <c r="F18" s="16">
        <f xml:space="preserve"> B18/E18</f>
        <v>1.2115384615384615</v>
      </c>
    </row>
    <row r="19" spans="1:8" x14ac:dyDescent="0.2">
      <c r="A19" s="3" t="s">
        <v>32</v>
      </c>
      <c r="B19" s="3">
        <v>174</v>
      </c>
      <c r="C19" s="3">
        <v>79</v>
      </c>
      <c r="D19" s="3">
        <v>0</v>
      </c>
      <c r="E19" s="3">
        <f xml:space="preserve"> SUM(C19,D19)</f>
        <v>79</v>
      </c>
      <c r="F19" s="16">
        <f xml:space="preserve"> B19/E19</f>
        <v>2.2025316455696204</v>
      </c>
    </row>
    <row r="20" spans="1:8" x14ac:dyDescent="0.2">
      <c r="A20" s="3" t="s">
        <v>9</v>
      </c>
      <c r="B20" s="3">
        <v>198</v>
      </c>
      <c r="C20" s="3">
        <v>82</v>
      </c>
      <c r="D20" s="3">
        <v>0</v>
      </c>
      <c r="E20" s="3">
        <f xml:space="preserve"> SUM(C20,D20)</f>
        <v>82</v>
      </c>
      <c r="F20" s="16">
        <f xml:space="preserve"> B20/E20</f>
        <v>2.4146341463414633</v>
      </c>
    </row>
    <row r="21" spans="1:8" x14ac:dyDescent="0.2">
      <c r="A21" s="3" t="s">
        <v>23</v>
      </c>
      <c r="B21" s="3">
        <v>48</v>
      </c>
      <c r="C21" s="3">
        <v>61</v>
      </c>
      <c r="D21" s="3">
        <v>0</v>
      </c>
      <c r="E21" s="3">
        <f xml:space="preserve"> SUM(C21,D21)</f>
        <v>61</v>
      </c>
      <c r="F21" s="16">
        <f xml:space="preserve"> B21/E21</f>
        <v>0.78688524590163933</v>
      </c>
    </row>
    <row r="22" spans="1:8" x14ac:dyDescent="0.2">
      <c r="A22" s="3" t="s">
        <v>29</v>
      </c>
      <c r="B22" s="3">
        <v>98</v>
      </c>
      <c r="C22" s="3">
        <v>60</v>
      </c>
      <c r="D22" s="3">
        <v>0</v>
      </c>
      <c r="E22" s="3">
        <f xml:space="preserve"> SUM(C22,D22)</f>
        <v>60</v>
      </c>
      <c r="F22" s="16">
        <f xml:space="preserve"> B22/E22</f>
        <v>1.6333333333333333</v>
      </c>
    </row>
    <row r="23" spans="1:8" x14ac:dyDescent="0.2">
      <c r="A23" s="3" t="s">
        <v>6</v>
      </c>
      <c r="B23" s="3">
        <v>71</v>
      </c>
      <c r="C23" s="3">
        <v>100</v>
      </c>
      <c r="D23" s="3">
        <v>1</v>
      </c>
      <c r="E23" s="3">
        <f xml:space="preserve"> SUM(C23,D23)</f>
        <v>101</v>
      </c>
      <c r="F23" s="16">
        <f xml:space="preserve"> B23/E23</f>
        <v>0.70297029702970293</v>
      </c>
      <c r="H23" t="s">
        <v>56</v>
      </c>
    </row>
    <row r="24" spans="1:8" x14ac:dyDescent="0.2">
      <c r="A24" s="3" t="s">
        <v>4</v>
      </c>
      <c r="B24" s="3">
        <v>193</v>
      </c>
      <c r="C24" s="3">
        <v>92</v>
      </c>
      <c r="D24" s="3">
        <v>6</v>
      </c>
      <c r="E24" s="3">
        <f xml:space="preserve"> SUM(C24,D24)</f>
        <v>98</v>
      </c>
      <c r="F24" s="16">
        <f xml:space="preserve"> B24/E24</f>
        <v>1.9693877551020409</v>
      </c>
    </row>
    <row r="25" spans="1:8" x14ac:dyDescent="0.2">
      <c r="A25" s="3" t="s">
        <v>21</v>
      </c>
      <c r="B25" s="3">
        <v>131</v>
      </c>
      <c r="C25" s="3">
        <v>83</v>
      </c>
      <c r="D25" s="3">
        <v>0</v>
      </c>
      <c r="E25" s="3">
        <f xml:space="preserve"> SUM(C25,D25)</f>
        <v>83</v>
      </c>
      <c r="F25" s="16">
        <f xml:space="preserve"> B25/E25</f>
        <v>1.5783132530120483</v>
      </c>
    </row>
    <row r="26" spans="1:8" x14ac:dyDescent="0.2">
      <c r="A26" s="3" t="s">
        <v>33</v>
      </c>
      <c r="B26" s="3">
        <v>118</v>
      </c>
      <c r="C26" s="3">
        <v>74</v>
      </c>
      <c r="D26" s="3">
        <v>0</v>
      </c>
      <c r="E26" s="3">
        <f xml:space="preserve"> SUM(C26,D26)</f>
        <v>74</v>
      </c>
      <c r="F26" s="16">
        <f xml:space="preserve"> B26/E26</f>
        <v>1.5945945945945945</v>
      </c>
    </row>
    <row r="27" spans="1:8" x14ac:dyDescent="0.2">
      <c r="A27" s="3" t="s">
        <v>19</v>
      </c>
      <c r="B27" s="3">
        <v>91</v>
      </c>
      <c r="C27" s="3">
        <v>74</v>
      </c>
      <c r="D27" s="3">
        <v>0</v>
      </c>
      <c r="E27" s="3">
        <f xml:space="preserve"> SUM(C27,D27)</f>
        <v>74</v>
      </c>
      <c r="F27" s="16">
        <f xml:space="preserve"> B27/E27</f>
        <v>1.2297297297297298</v>
      </c>
    </row>
    <row r="28" spans="1:8" x14ac:dyDescent="0.2">
      <c r="A28" s="3" t="s">
        <v>15</v>
      </c>
      <c r="B28" s="3">
        <v>88</v>
      </c>
      <c r="C28" s="3">
        <v>77</v>
      </c>
      <c r="D28" s="3">
        <v>0</v>
      </c>
      <c r="E28" s="3">
        <f xml:space="preserve"> SUM(C28,D28)</f>
        <v>77</v>
      </c>
      <c r="F28" s="16">
        <f xml:space="preserve"> B28/E28</f>
        <v>1.1428571428571428</v>
      </c>
    </row>
    <row r="29" spans="1:8" x14ac:dyDescent="0.2">
      <c r="A29" s="3" t="s">
        <v>16</v>
      </c>
      <c r="B29" s="3">
        <v>122</v>
      </c>
      <c r="C29" s="3">
        <v>73</v>
      </c>
      <c r="D29" s="3">
        <v>0</v>
      </c>
      <c r="E29" s="3">
        <f xml:space="preserve"> SUM(C29,D29)</f>
        <v>73</v>
      </c>
      <c r="F29" s="16">
        <f xml:space="preserve"> B29/E29</f>
        <v>1.6712328767123288</v>
      </c>
    </row>
    <row r="30" spans="1:8" x14ac:dyDescent="0.2">
      <c r="A30" s="3" t="s">
        <v>18</v>
      </c>
      <c r="B30" s="3">
        <v>140</v>
      </c>
      <c r="C30" s="3">
        <v>93</v>
      </c>
      <c r="D30" s="3">
        <v>1</v>
      </c>
      <c r="E30" s="3">
        <f xml:space="preserve"> SUM(C30,D30)</f>
        <v>94</v>
      </c>
      <c r="F30" s="16">
        <f xml:space="preserve"> B30/E30</f>
        <v>1.4893617021276595</v>
      </c>
    </row>
    <row r="31" spans="1:8" x14ac:dyDescent="0.2">
      <c r="A31" s="3" t="s">
        <v>3</v>
      </c>
      <c r="B31" s="3">
        <v>201</v>
      </c>
      <c r="C31" s="3">
        <v>92</v>
      </c>
      <c r="D31" s="3">
        <v>0</v>
      </c>
      <c r="E31" s="3">
        <f xml:space="preserve"> SUM(C31,D31)</f>
        <v>92</v>
      </c>
      <c r="F31" s="16">
        <f xml:space="preserve"> B31/E31</f>
        <v>2.1847826086956523</v>
      </c>
    </row>
    <row r="33" spans="1:6" x14ac:dyDescent="0.2">
      <c r="A33" s="3" t="s">
        <v>43</v>
      </c>
      <c r="B33">
        <f>AVERAGE(B2:B31)</f>
        <v>133.93333333333334</v>
      </c>
      <c r="F33" s="13">
        <f xml:space="preserve"> AVERAGE(F2:F31)</f>
        <v>1.6233324262887316</v>
      </c>
    </row>
    <row r="34" spans="1:6" x14ac:dyDescent="0.2">
      <c r="A34" s="3" t="s">
        <v>44</v>
      </c>
      <c r="B34">
        <f>AVERAGE(B33,B16)</f>
        <v>168.96666666666667</v>
      </c>
      <c r="F34" s="13">
        <f xml:space="preserve"> AVERAGE(F33,F16)</f>
        <v>2.1363415378196904</v>
      </c>
    </row>
  </sheetData>
  <autoFilter ref="A1:F31" xr:uid="{A6C1DD41-7FEA-7741-8861-5C1FD1CA4CA8}">
    <sortState xmlns:xlrd2="http://schemas.microsoft.com/office/spreadsheetml/2017/richdata2" ref="A2:F31">
      <sortCondition ref="A1:A3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3589D-6ED9-EF46-91D6-98F355AB6092}">
  <dimension ref="A1:J34"/>
  <sheetViews>
    <sheetView workbookViewId="0">
      <selection activeCell="B2" sqref="B2:B31"/>
    </sheetView>
  </sheetViews>
  <sheetFormatPr baseColWidth="10" defaultRowHeight="16" x14ac:dyDescent="0.2"/>
  <cols>
    <col min="1" max="1" width="22.5" customWidth="1"/>
    <col min="2" max="2" width="27" customWidth="1"/>
    <col min="3" max="3" width="19.33203125" customWidth="1"/>
    <col min="4" max="4" width="20.33203125" customWidth="1"/>
    <col min="5" max="5" width="22" customWidth="1"/>
    <col min="6" max="6" width="21.5" customWidth="1"/>
  </cols>
  <sheetData>
    <row r="1" spans="1:6" ht="22" x14ac:dyDescent="0.3">
      <c r="A1" s="2" t="s">
        <v>0</v>
      </c>
      <c r="B1" s="2" t="s">
        <v>1</v>
      </c>
      <c r="C1" s="2" t="s">
        <v>12</v>
      </c>
      <c r="D1" s="2" t="s">
        <v>13</v>
      </c>
      <c r="E1" s="2" t="s">
        <v>47</v>
      </c>
      <c r="F1" s="2" t="s">
        <v>14</v>
      </c>
    </row>
    <row r="2" spans="1:6" x14ac:dyDescent="0.2">
      <c r="A2" s="3" t="s">
        <v>25</v>
      </c>
      <c r="B2" s="3">
        <v>179</v>
      </c>
      <c r="C2" s="3">
        <v>26</v>
      </c>
      <c r="D2" s="3">
        <v>0</v>
      </c>
      <c r="E2" s="3">
        <f>SUM(C2,D2)</f>
        <v>26</v>
      </c>
      <c r="F2" s="5">
        <f xml:space="preserve"> B2/E2</f>
        <v>6.884615384615385</v>
      </c>
    </row>
    <row r="3" spans="1:6" x14ac:dyDescent="0.2">
      <c r="A3" s="3" t="s">
        <v>27</v>
      </c>
      <c r="B3" s="3">
        <v>213</v>
      </c>
      <c r="C3" s="3">
        <v>29</v>
      </c>
      <c r="D3" s="3">
        <v>5</v>
      </c>
      <c r="E3" s="3">
        <f>SUM(C3,D3)</f>
        <v>34</v>
      </c>
      <c r="F3" s="5">
        <f xml:space="preserve"> B3/E3</f>
        <v>6.2647058823529411</v>
      </c>
    </row>
    <row r="4" spans="1:6" x14ac:dyDescent="0.2">
      <c r="A4" s="3" t="s">
        <v>26</v>
      </c>
      <c r="B4" s="3">
        <v>101</v>
      </c>
      <c r="C4" s="3">
        <v>36</v>
      </c>
      <c r="D4" s="3">
        <v>3</v>
      </c>
      <c r="E4" s="3">
        <f>SUM(C4,D4)</f>
        <v>39</v>
      </c>
      <c r="F4" s="5">
        <f xml:space="preserve"> B4/E4</f>
        <v>2.5897435897435899</v>
      </c>
    </row>
    <row r="5" spans="1:6" x14ac:dyDescent="0.2">
      <c r="A5" s="3" t="s">
        <v>5</v>
      </c>
      <c r="B5" s="3">
        <v>118</v>
      </c>
      <c r="C5" s="3">
        <v>32</v>
      </c>
      <c r="D5" s="3">
        <v>0</v>
      </c>
      <c r="E5" s="3">
        <f>SUM(C5,D5)</f>
        <v>32</v>
      </c>
      <c r="F5" s="5">
        <f xml:space="preserve"> B5/E5</f>
        <v>3.6875</v>
      </c>
    </row>
    <row r="6" spans="1:6" x14ac:dyDescent="0.2">
      <c r="A6" s="3" t="s">
        <v>7</v>
      </c>
      <c r="B6" s="3">
        <v>164</v>
      </c>
      <c r="C6" s="3">
        <v>35</v>
      </c>
      <c r="D6" s="3">
        <v>8</v>
      </c>
      <c r="E6" s="3">
        <f>SUM(C6,D6)</f>
        <v>43</v>
      </c>
      <c r="F6" s="5">
        <f xml:space="preserve"> B6/E6</f>
        <v>3.8139534883720931</v>
      </c>
    </row>
    <row r="7" spans="1:6" x14ac:dyDescent="0.2">
      <c r="A7" s="3" t="s">
        <v>22</v>
      </c>
      <c r="B7" s="3">
        <v>97</v>
      </c>
      <c r="C7" s="3">
        <v>29</v>
      </c>
      <c r="D7" s="3">
        <v>0</v>
      </c>
      <c r="E7" s="3">
        <f>SUM(C7,D7)</f>
        <v>29</v>
      </c>
      <c r="F7" s="5">
        <f xml:space="preserve"> B7/E7</f>
        <v>3.3448275862068964</v>
      </c>
    </row>
    <row r="8" spans="1:6" x14ac:dyDescent="0.2">
      <c r="A8" s="3" t="s">
        <v>24</v>
      </c>
      <c r="B8" s="3">
        <v>168</v>
      </c>
      <c r="C8" s="3">
        <v>30</v>
      </c>
      <c r="D8" s="3">
        <v>1</v>
      </c>
      <c r="E8" s="3">
        <f>SUM(C8,D8)</f>
        <v>31</v>
      </c>
      <c r="F8" s="5">
        <f xml:space="preserve"> B8/E8</f>
        <v>5.419354838709677</v>
      </c>
    </row>
    <row r="9" spans="1:6" x14ac:dyDescent="0.2">
      <c r="A9" s="3" t="s">
        <v>20</v>
      </c>
      <c r="B9" s="3">
        <v>199</v>
      </c>
      <c r="C9" s="3">
        <v>34</v>
      </c>
      <c r="D9" s="3">
        <v>0</v>
      </c>
      <c r="E9" s="3">
        <f>SUM(C9,D9)</f>
        <v>34</v>
      </c>
      <c r="F9" s="5">
        <f xml:space="preserve"> B9/E9</f>
        <v>5.8529411764705879</v>
      </c>
    </row>
    <row r="10" spans="1:6" x14ac:dyDescent="0.2">
      <c r="A10" s="3" t="s">
        <v>31</v>
      </c>
      <c r="B10" s="3">
        <v>112</v>
      </c>
      <c r="C10" s="3">
        <v>25</v>
      </c>
      <c r="D10" s="3">
        <v>0</v>
      </c>
      <c r="E10" s="3">
        <f>SUM(C10,D10)</f>
        <v>25</v>
      </c>
      <c r="F10" s="5">
        <f xml:space="preserve"> B10/E10</f>
        <v>4.4800000000000004</v>
      </c>
    </row>
    <row r="11" spans="1:6" x14ac:dyDescent="0.2">
      <c r="A11" s="6" t="s">
        <v>30</v>
      </c>
      <c r="B11" s="6">
        <v>222</v>
      </c>
      <c r="C11" s="6">
        <v>43</v>
      </c>
      <c r="D11" s="6">
        <v>13</v>
      </c>
      <c r="E11" s="3">
        <f>SUM(C11,D11)</f>
        <v>56</v>
      </c>
      <c r="F11" s="5">
        <f xml:space="preserve"> B11/E11</f>
        <v>3.9642857142857144</v>
      </c>
    </row>
    <row r="12" spans="1:6" x14ac:dyDescent="0.2">
      <c r="A12" s="3" t="s">
        <v>34</v>
      </c>
      <c r="B12" s="3">
        <v>141</v>
      </c>
      <c r="C12" s="3">
        <v>29</v>
      </c>
      <c r="D12" s="3">
        <v>0</v>
      </c>
      <c r="E12" s="3">
        <f>SUM(C12,D12)</f>
        <v>29</v>
      </c>
      <c r="F12" s="5">
        <f xml:space="preserve"> B12/E12</f>
        <v>4.8620689655172411</v>
      </c>
    </row>
    <row r="13" spans="1:6" x14ac:dyDescent="0.2">
      <c r="A13" s="3" t="s">
        <v>17</v>
      </c>
      <c r="B13" s="3">
        <v>99</v>
      </c>
      <c r="C13" s="3">
        <v>35</v>
      </c>
      <c r="D13" s="3">
        <v>0</v>
      </c>
      <c r="E13" s="3">
        <f>SUM(C13,D13)</f>
        <v>35</v>
      </c>
      <c r="F13" s="5">
        <f xml:space="preserve"> B13/E13</f>
        <v>2.8285714285714287</v>
      </c>
    </row>
    <row r="14" spans="1:6" x14ac:dyDescent="0.2">
      <c r="A14" s="3" t="s">
        <v>28</v>
      </c>
      <c r="B14" s="3">
        <v>97</v>
      </c>
      <c r="C14" s="3">
        <v>27</v>
      </c>
      <c r="D14" s="3">
        <v>0</v>
      </c>
      <c r="E14" s="3">
        <f>SUM(C14,D14)</f>
        <v>27</v>
      </c>
      <c r="F14" s="5">
        <f xml:space="preserve"> B14/E14</f>
        <v>3.5925925925925926</v>
      </c>
    </row>
    <row r="15" spans="1:6" x14ac:dyDescent="0.2">
      <c r="A15" s="3" t="s">
        <v>10</v>
      </c>
      <c r="B15" s="3">
        <v>75</v>
      </c>
      <c r="C15" s="3">
        <v>31</v>
      </c>
      <c r="D15" s="3">
        <v>2</v>
      </c>
      <c r="E15" s="3">
        <f>SUM(C15,D15)</f>
        <v>33</v>
      </c>
      <c r="F15" s="5">
        <f xml:space="preserve"> B15/E15</f>
        <v>2.2727272727272729</v>
      </c>
    </row>
    <row r="16" spans="1:6" x14ac:dyDescent="0.2">
      <c r="A16" s="3" t="s">
        <v>8</v>
      </c>
      <c r="B16" s="3">
        <v>170</v>
      </c>
      <c r="C16" s="3">
        <v>26</v>
      </c>
      <c r="D16" s="3">
        <v>0</v>
      </c>
      <c r="E16" s="3">
        <f>SUM(C16,D16)</f>
        <v>26</v>
      </c>
      <c r="F16" s="5">
        <f xml:space="preserve"> B16/E16</f>
        <v>6.5384615384615383</v>
      </c>
    </row>
    <row r="17" spans="1:10" x14ac:dyDescent="0.2">
      <c r="A17" s="3" t="s">
        <v>11</v>
      </c>
      <c r="B17" s="3">
        <v>182</v>
      </c>
      <c r="C17" s="3">
        <v>26</v>
      </c>
      <c r="D17" s="3">
        <v>0</v>
      </c>
      <c r="E17" s="3">
        <f>SUM(C17,D17)</f>
        <v>26</v>
      </c>
      <c r="F17" s="5">
        <f xml:space="preserve"> B17/E17</f>
        <v>7</v>
      </c>
      <c r="J17" t="s">
        <v>62</v>
      </c>
    </row>
    <row r="18" spans="1:10" x14ac:dyDescent="0.2">
      <c r="A18" s="3" t="s">
        <v>2</v>
      </c>
      <c r="B18" s="3">
        <v>65</v>
      </c>
      <c r="C18" s="3">
        <v>25</v>
      </c>
      <c r="D18" s="3">
        <v>0</v>
      </c>
      <c r="E18" s="3">
        <f>SUM(C18,D18)</f>
        <v>25</v>
      </c>
      <c r="F18" s="5">
        <f xml:space="preserve"> B18/E18</f>
        <v>2.6</v>
      </c>
    </row>
    <row r="19" spans="1:10" x14ac:dyDescent="0.2">
      <c r="A19" s="3" t="s">
        <v>32</v>
      </c>
      <c r="B19" s="3">
        <v>157</v>
      </c>
      <c r="C19" s="3">
        <v>37</v>
      </c>
      <c r="D19" s="3">
        <v>2</v>
      </c>
      <c r="E19" s="3">
        <f>SUM(C19,D19)</f>
        <v>39</v>
      </c>
      <c r="F19" s="5">
        <f xml:space="preserve"> B19/E19</f>
        <v>4.0256410256410255</v>
      </c>
    </row>
    <row r="20" spans="1:10" x14ac:dyDescent="0.2">
      <c r="A20" s="3" t="s">
        <v>9</v>
      </c>
      <c r="B20" s="3">
        <v>187</v>
      </c>
      <c r="C20" s="3">
        <v>28</v>
      </c>
      <c r="D20" s="3">
        <v>0</v>
      </c>
      <c r="E20" s="3">
        <f>SUM(C20,D20)</f>
        <v>28</v>
      </c>
      <c r="F20" s="5">
        <f xml:space="preserve"> B20/E20</f>
        <v>6.6785714285714288</v>
      </c>
    </row>
    <row r="21" spans="1:10" x14ac:dyDescent="0.2">
      <c r="A21" s="3" t="s">
        <v>23</v>
      </c>
      <c r="B21" s="3">
        <v>63</v>
      </c>
      <c r="C21" s="3">
        <v>19</v>
      </c>
      <c r="D21" s="3">
        <v>0</v>
      </c>
      <c r="E21" s="3">
        <f>SUM(C21,D21)</f>
        <v>19</v>
      </c>
      <c r="F21" s="5">
        <f xml:space="preserve"> B21/E21</f>
        <v>3.3157894736842106</v>
      </c>
    </row>
    <row r="22" spans="1:10" x14ac:dyDescent="0.2">
      <c r="A22" s="3" t="s">
        <v>29</v>
      </c>
      <c r="B22" s="3">
        <v>151</v>
      </c>
      <c r="C22" s="3">
        <v>22</v>
      </c>
      <c r="D22" s="3">
        <v>0</v>
      </c>
      <c r="E22" s="3">
        <f>SUM(C22,D22)</f>
        <v>22</v>
      </c>
      <c r="F22" s="5">
        <f xml:space="preserve"> B22/E22</f>
        <v>6.8636363636363633</v>
      </c>
    </row>
    <row r="23" spans="1:10" x14ac:dyDescent="0.2">
      <c r="A23" s="3" t="s">
        <v>6</v>
      </c>
      <c r="B23" s="3">
        <v>74</v>
      </c>
      <c r="C23" s="3">
        <v>40</v>
      </c>
      <c r="D23" s="3">
        <v>11</v>
      </c>
      <c r="E23" s="3">
        <f>SUM(C23,D23)</f>
        <v>51</v>
      </c>
      <c r="F23" s="5">
        <f xml:space="preserve"> B23/E23</f>
        <v>1.4509803921568627</v>
      </c>
      <c r="I23" t="s">
        <v>56</v>
      </c>
    </row>
    <row r="24" spans="1:10" x14ac:dyDescent="0.2">
      <c r="A24" s="3" t="s">
        <v>4</v>
      </c>
      <c r="B24" s="3">
        <v>177</v>
      </c>
      <c r="C24" s="3">
        <v>24</v>
      </c>
      <c r="D24" s="3">
        <v>0</v>
      </c>
      <c r="E24" s="3">
        <f>SUM(C24,D24)</f>
        <v>24</v>
      </c>
      <c r="F24" s="5">
        <f xml:space="preserve"> B24/E24</f>
        <v>7.375</v>
      </c>
    </row>
    <row r="25" spans="1:10" x14ac:dyDescent="0.2">
      <c r="A25" s="3" t="s">
        <v>21</v>
      </c>
      <c r="B25" s="3">
        <v>149</v>
      </c>
      <c r="C25" s="3">
        <v>31</v>
      </c>
      <c r="D25" s="3">
        <v>0</v>
      </c>
      <c r="E25" s="3">
        <f>SUM(C25,D25)</f>
        <v>31</v>
      </c>
      <c r="F25" s="5">
        <f xml:space="preserve"> B25/E25</f>
        <v>4.806451612903226</v>
      </c>
    </row>
    <row r="26" spans="1:10" x14ac:dyDescent="0.2">
      <c r="A26" s="3" t="s">
        <v>33</v>
      </c>
      <c r="B26" s="3">
        <v>146</v>
      </c>
      <c r="C26" s="3">
        <v>26</v>
      </c>
      <c r="D26" s="3">
        <v>0</v>
      </c>
      <c r="E26" s="3">
        <f>SUM(C26,D26)</f>
        <v>26</v>
      </c>
      <c r="F26" s="5">
        <f xml:space="preserve"> B26/E26</f>
        <v>5.615384615384615</v>
      </c>
    </row>
    <row r="27" spans="1:10" x14ac:dyDescent="0.2">
      <c r="A27" s="3" t="s">
        <v>19</v>
      </c>
      <c r="B27" s="3">
        <v>91</v>
      </c>
      <c r="C27" s="3">
        <v>26</v>
      </c>
      <c r="D27" s="3">
        <v>0</v>
      </c>
      <c r="E27" s="3">
        <f>SUM(C27,D27)</f>
        <v>26</v>
      </c>
      <c r="F27" s="5">
        <f xml:space="preserve"> B27/E27</f>
        <v>3.5</v>
      </c>
    </row>
    <row r="28" spans="1:10" x14ac:dyDescent="0.2">
      <c r="A28" s="3" t="s">
        <v>15</v>
      </c>
      <c r="B28" s="3">
        <v>107</v>
      </c>
      <c r="C28" s="3">
        <v>23</v>
      </c>
      <c r="D28" s="3">
        <v>0</v>
      </c>
      <c r="E28" s="3">
        <f>SUM(C28,D28)</f>
        <v>23</v>
      </c>
      <c r="F28" s="5">
        <f xml:space="preserve"> B28/E28</f>
        <v>4.6521739130434785</v>
      </c>
    </row>
    <row r="29" spans="1:10" x14ac:dyDescent="0.2">
      <c r="A29" s="3" t="s">
        <v>16</v>
      </c>
      <c r="B29" s="3">
        <v>133</v>
      </c>
      <c r="C29" s="3">
        <v>36</v>
      </c>
      <c r="D29" s="3">
        <v>0</v>
      </c>
      <c r="E29" s="3">
        <f>SUM(C29,D29)</f>
        <v>36</v>
      </c>
      <c r="F29" s="5">
        <f xml:space="preserve"> B29/E29</f>
        <v>3.6944444444444446</v>
      </c>
    </row>
    <row r="30" spans="1:10" x14ac:dyDescent="0.2">
      <c r="A30" s="3" t="s">
        <v>18</v>
      </c>
      <c r="B30" s="3">
        <v>136</v>
      </c>
      <c r="C30" s="3">
        <v>35</v>
      </c>
      <c r="D30" s="3">
        <v>1</v>
      </c>
      <c r="E30" s="3">
        <f>SUM(C30,D30)</f>
        <v>36</v>
      </c>
      <c r="F30" s="5">
        <f xml:space="preserve"> B30/E30</f>
        <v>3.7777777777777777</v>
      </c>
    </row>
    <row r="31" spans="1:10" x14ac:dyDescent="0.2">
      <c r="A31" s="3" t="s">
        <v>3</v>
      </c>
      <c r="B31" s="3">
        <v>250</v>
      </c>
      <c r="C31" s="3">
        <v>33</v>
      </c>
      <c r="D31" s="3">
        <v>4</v>
      </c>
      <c r="E31" s="3">
        <f>SUM(C31,D31)</f>
        <v>37</v>
      </c>
      <c r="F31" s="5">
        <f xml:space="preserve"> B31/E31</f>
        <v>6.756756756756757</v>
      </c>
    </row>
    <row r="33" spans="1:6" x14ac:dyDescent="0.2">
      <c r="A33" s="3" t="s">
        <v>43</v>
      </c>
      <c r="B33">
        <f>AVERAGE(B2:B31)</f>
        <v>140.76666666666668</v>
      </c>
      <c r="F33" s="11">
        <f xml:space="preserve"> AVERAGE(F2:F31)</f>
        <v>4.6169652420875709</v>
      </c>
    </row>
    <row r="34" spans="1:6" x14ac:dyDescent="0.2">
      <c r="A34" s="3" t="s">
        <v>45</v>
      </c>
      <c r="B34">
        <f>AVERAGE(B33,B16)</f>
        <v>155.38333333333333</v>
      </c>
      <c r="F34" s="11">
        <f xml:space="preserve"> AVERAGE(F33,F16)</f>
        <v>5.577713390274555</v>
      </c>
    </row>
  </sheetData>
  <autoFilter ref="A1:F31" xr:uid="{0E63589D-6ED9-EF46-91D6-98F355AB6092}">
    <sortState xmlns:xlrd2="http://schemas.microsoft.com/office/spreadsheetml/2017/richdata2" ref="A2:F31">
      <sortCondition ref="A1:A31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1403-52A7-5C4B-A00A-6AA864774F16}">
  <sheetPr filterMode="1"/>
  <dimension ref="A1:J34"/>
  <sheetViews>
    <sheetView workbookViewId="0">
      <selection activeCell="B2" sqref="B2:B34"/>
    </sheetView>
  </sheetViews>
  <sheetFormatPr baseColWidth="10" defaultRowHeight="16" x14ac:dyDescent="0.2"/>
  <cols>
    <col min="1" max="1" width="21.5" customWidth="1"/>
    <col min="2" max="2" width="21.6640625" customWidth="1"/>
    <col min="3" max="4" width="19.83203125" customWidth="1"/>
    <col min="5" max="5" width="20.1640625" customWidth="1"/>
    <col min="6" max="6" width="21.5" customWidth="1"/>
  </cols>
  <sheetData>
    <row r="1" spans="1:6" ht="22" x14ac:dyDescent="0.3">
      <c r="A1" s="2" t="s">
        <v>0</v>
      </c>
      <c r="B1" s="2" t="s">
        <v>1</v>
      </c>
      <c r="C1" s="2" t="s">
        <v>12</v>
      </c>
      <c r="D1" s="2" t="s">
        <v>13</v>
      </c>
      <c r="E1" s="2" t="s">
        <v>36</v>
      </c>
      <c r="F1" s="2" t="s">
        <v>14</v>
      </c>
    </row>
    <row r="2" spans="1:6" x14ac:dyDescent="0.2">
      <c r="A2" s="3" t="s">
        <v>25</v>
      </c>
      <c r="B2" s="3">
        <v>118</v>
      </c>
      <c r="C2" s="3">
        <v>72</v>
      </c>
      <c r="D2" s="3">
        <v>0</v>
      </c>
      <c r="E2" s="3">
        <f xml:space="preserve"> SUM(C2,D2)</f>
        <v>72</v>
      </c>
      <c r="F2" s="5">
        <f xml:space="preserve"> B2/E2</f>
        <v>1.6388888888888888</v>
      </c>
    </row>
    <row r="3" spans="1:6" x14ac:dyDescent="0.2">
      <c r="A3" s="3" t="s">
        <v>27</v>
      </c>
      <c r="B3" s="3">
        <v>113</v>
      </c>
      <c r="C3" s="3">
        <v>107</v>
      </c>
      <c r="D3" s="3">
        <v>10</v>
      </c>
      <c r="E3" s="3">
        <f xml:space="preserve"> SUM(C3,D3)</f>
        <v>117</v>
      </c>
      <c r="F3" s="5">
        <f xml:space="preserve"> B3/E3</f>
        <v>0.96581196581196582</v>
      </c>
    </row>
    <row r="4" spans="1:6" x14ac:dyDescent="0.2">
      <c r="A4" s="3" t="s">
        <v>26</v>
      </c>
      <c r="B4" s="3">
        <v>116</v>
      </c>
      <c r="C4" s="3">
        <v>97</v>
      </c>
      <c r="D4" s="3">
        <v>0</v>
      </c>
      <c r="E4" s="3">
        <f xml:space="preserve"> SUM(C4,D4)</f>
        <v>97</v>
      </c>
      <c r="F4" s="5">
        <f xml:space="preserve"> B4/E4</f>
        <v>1.1958762886597938</v>
      </c>
    </row>
    <row r="5" spans="1:6" x14ac:dyDescent="0.2">
      <c r="A5" s="3" t="s">
        <v>5</v>
      </c>
      <c r="B5" s="3">
        <v>210</v>
      </c>
      <c r="C5" s="3">
        <v>67</v>
      </c>
      <c r="D5" s="3">
        <v>0</v>
      </c>
      <c r="E5" s="3">
        <f xml:space="preserve"> SUM(C5,D5)</f>
        <v>67</v>
      </c>
      <c r="F5" s="5">
        <f xml:space="preserve"> B5/E5</f>
        <v>3.1343283582089554</v>
      </c>
    </row>
    <row r="6" spans="1:6" x14ac:dyDescent="0.2">
      <c r="A6" s="3" t="s">
        <v>7</v>
      </c>
      <c r="B6" s="3">
        <v>186</v>
      </c>
      <c r="C6" s="3">
        <v>97</v>
      </c>
      <c r="D6" s="3">
        <v>2</v>
      </c>
      <c r="E6" s="3">
        <f xml:space="preserve"> SUM(C6,D6)</f>
        <v>99</v>
      </c>
      <c r="F6" s="5">
        <f xml:space="preserve"> B6/E6</f>
        <v>1.8787878787878789</v>
      </c>
    </row>
    <row r="7" spans="1:6" x14ac:dyDescent="0.2">
      <c r="A7" s="3" t="s">
        <v>22</v>
      </c>
      <c r="B7" s="3">
        <v>125</v>
      </c>
      <c r="C7" s="3">
        <v>89</v>
      </c>
      <c r="D7" s="3">
        <v>0</v>
      </c>
      <c r="E7" s="3">
        <f xml:space="preserve"> SUM(C7,D7)</f>
        <v>89</v>
      </c>
      <c r="F7" s="5">
        <f xml:space="preserve"> B7/E7</f>
        <v>1.404494382022472</v>
      </c>
    </row>
    <row r="8" spans="1:6" x14ac:dyDescent="0.2">
      <c r="A8" s="3" t="s">
        <v>24</v>
      </c>
      <c r="B8" s="3">
        <v>124</v>
      </c>
      <c r="C8" s="3">
        <v>91</v>
      </c>
      <c r="D8" s="3">
        <v>0</v>
      </c>
      <c r="E8" s="3">
        <f xml:space="preserve"> SUM(C8,D8)</f>
        <v>91</v>
      </c>
      <c r="F8" s="5">
        <f xml:space="preserve"> B8/E8</f>
        <v>1.3626373626373627</v>
      </c>
    </row>
    <row r="9" spans="1:6" x14ac:dyDescent="0.2">
      <c r="A9" s="3" t="s">
        <v>20</v>
      </c>
      <c r="B9" s="3">
        <v>132</v>
      </c>
      <c r="C9" s="3">
        <v>84</v>
      </c>
      <c r="D9" s="3">
        <v>0</v>
      </c>
      <c r="E9" s="3">
        <f xml:space="preserve"> SUM(C9,D9)</f>
        <v>84</v>
      </c>
      <c r="F9" s="5">
        <f xml:space="preserve"> B9/E9</f>
        <v>1.5714285714285714</v>
      </c>
    </row>
    <row r="10" spans="1:6" x14ac:dyDescent="0.2">
      <c r="A10" s="3" t="s">
        <v>31</v>
      </c>
      <c r="B10" s="3">
        <v>87</v>
      </c>
      <c r="C10" s="3">
        <v>85</v>
      </c>
      <c r="D10" s="3">
        <v>0</v>
      </c>
      <c r="E10" s="3">
        <f xml:space="preserve"> SUM(C10,D10)</f>
        <v>85</v>
      </c>
      <c r="F10" s="5">
        <f xml:space="preserve"> B10/E10</f>
        <v>1.0235294117647058</v>
      </c>
    </row>
    <row r="11" spans="1:6" x14ac:dyDescent="0.2">
      <c r="A11" s="3" t="s">
        <v>30</v>
      </c>
      <c r="B11" s="3">
        <v>94</v>
      </c>
      <c r="C11" s="3">
        <v>106</v>
      </c>
      <c r="D11" s="3">
        <v>2</v>
      </c>
      <c r="E11" s="3">
        <f xml:space="preserve"> SUM(C11,D11)</f>
        <v>108</v>
      </c>
      <c r="F11" s="5">
        <f xml:space="preserve"> B11/E11</f>
        <v>0.87037037037037035</v>
      </c>
    </row>
    <row r="12" spans="1:6" x14ac:dyDescent="0.2">
      <c r="A12" s="3" t="s">
        <v>34</v>
      </c>
      <c r="B12" s="3">
        <v>67</v>
      </c>
      <c r="C12" s="3">
        <v>77</v>
      </c>
      <c r="D12" s="3">
        <v>0</v>
      </c>
      <c r="E12" s="3">
        <f xml:space="preserve"> SUM(C12,D12)</f>
        <v>77</v>
      </c>
      <c r="F12" s="5">
        <f xml:space="preserve"> B12/E12</f>
        <v>0.87012987012987009</v>
      </c>
    </row>
    <row r="13" spans="1:6" x14ac:dyDescent="0.2">
      <c r="A13" s="3" t="s">
        <v>17</v>
      </c>
      <c r="B13" s="3">
        <v>136</v>
      </c>
      <c r="C13" s="3">
        <v>93</v>
      </c>
      <c r="D13" s="3">
        <v>0</v>
      </c>
      <c r="E13" s="3">
        <f xml:space="preserve"> SUM(C13,D13)</f>
        <v>93</v>
      </c>
      <c r="F13" s="5">
        <f xml:space="preserve"> B13/E13</f>
        <v>1.4623655913978495</v>
      </c>
    </row>
    <row r="14" spans="1:6" x14ac:dyDescent="0.2">
      <c r="A14" s="3" t="s">
        <v>28</v>
      </c>
      <c r="B14" s="3">
        <v>105</v>
      </c>
      <c r="C14" s="3">
        <v>68</v>
      </c>
      <c r="D14" s="3">
        <v>0</v>
      </c>
      <c r="E14" s="3">
        <f xml:space="preserve"> SUM(C14,D14)</f>
        <v>68</v>
      </c>
      <c r="F14" s="5">
        <f xml:space="preserve"> B14/E14</f>
        <v>1.5441176470588236</v>
      </c>
    </row>
    <row r="15" spans="1:6" x14ac:dyDescent="0.2">
      <c r="A15" s="3" t="s">
        <v>10</v>
      </c>
      <c r="B15" s="3">
        <v>167</v>
      </c>
      <c r="C15" s="3">
        <v>57</v>
      </c>
      <c r="D15" s="3">
        <v>0</v>
      </c>
      <c r="E15" s="3">
        <f xml:space="preserve"> SUM(C15,D15)</f>
        <v>57</v>
      </c>
      <c r="F15" s="5">
        <f xml:space="preserve"> B15/E15</f>
        <v>2.9298245614035086</v>
      </c>
    </row>
    <row r="16" spans="1:6" hidden="1" x14ac:dyDescent="0.2">
      <c r="A16" s="3" t="s">
        <v>43</v>
      </c>
      <c r="B16">
        <f>AVERAGE(B1:B14)</f>
        <v>124.07692307692308</v>
      </c>
      <c r="F16" s="11">
        <f xml:space="preserve"> AVERAGE(F1:F14)</f>
        <v>1.4555974297821161</v>
      </c>
    </row>
    <row r="17" spans="1:10" x14ac:dyDescent="0.2">
      <c r="A17" s="3" t="s">
        <v>8</v>
      </c>
      <c r="B17" s="3">
        <v>174</v>
      </c>
      <c r="C17" s="3">
        <v>86</v>
      </c>
      <c r="D17" s="3">
        <v>0</v>
      </c>
      <c r="E17" s="3">
        <f xml:space="preserve"> SUM(C17,D17)</f>
        <v>86</v>
      </c>
      <c r="F17" s="5">
        <f xml:space="preserve"> B17/E17</f>
        <v>2.0232558139534884</v>
      </c>
      <c r="J17" t="s">
        <v>61</v>
      </c>
    </row>
    <row r="18" spans="1:10" x14ac:dyDescent="0.2">
      <c r="A18" s="6" t="s">
        <v>11</v>
      </c>
      <c r="B18" s="6">
        <v>161</v>
      </c>
      <c r="C18" s="6">
        <v>93</v>
      </c>
      <c r="D18" s="6">
        <v>12</v>
      </c>
      <c r="E18" s="3">
        <f xml:space="preserve"> SUM(C18,D18)</f>
        <v>105</v>
      </c>
      <c r="F18" s="5">
        <f xml:space="preserve"> B18/E18</f>
        <v>1.5333333333333334</v>
      </c>
    </row>
    <row r="19" spans="1:10" x14ac:dyDescent="0.2">
      <c r="A19" s="3" t="s">
        <v>2</v>
      </c>
      <c r="B19" s="3">
        <v>242</v>
      </c>
      <c r="C19" s="3">
        <v>54</v>
      </c>
      <c r="D19" s="3">
        <v>0</v>
      </c>
      <c r="E19" s="3">
        <f xml:space="preserve"> SUM(C19,D19)</f>
        <v>54</v>
      </c>
      <c r="F19" s="5">
        <f xml:space="preserve"> B19/E19</f>
        <v>4.4814814814814818</v>
      </c>
    </row>
    <row r="20" spans="1:10" x14ac:dyDescent="0.2">
      <c r="A20" s="3" t="s">
        <v>32</v>
      </c>
      <c r="B20" s="3">
        <v>78</v>
      </c>
      <c r="C20" s="3">
        <v>77</v>
      </c>
      <c r="D20" s="3">
        <v>0</v>
      </c>
      <c r="E20" s="3">
        <f xml:space="preserve"> SUM(C20,D20)</f>
        <v>77</v>
      </c>
      <c r="F20" s="5">
        <f xml:space="preserve"> B20/E20</f>
        <v>1.0129870129870129</v>
      </c>
    </row>
    <row r="21" spans="1:10" x14ac:dyDescent="0.2">
      <c r="A21" s="3" t="s">
        <v>9</v>
      </c>
      <c r="B21" s="3">
        <v>171</v>
      </c>
      <c r="C21" s="3">
        <v>81</v>
      </c>
      <c r="D21" s="3">
        <v>0</v>
      </c>
      <c r="E21" s="3">
        <f xml:space="preserve"> SUM(C21,D21)</f>
        <v>81</v>
      </c>
      <c r="F21" s="5">
        <f xml:space="preserve"> B21/E21</f>
        <v>2.1111111111111112</v>
      </c>
    </row>
    <row r="22" spans="1:10" x14ac:dyDescent="0.2">
      <c r="A22" s="3" t="s">
        <v>23</v>
      </c>
      <c r="B22" s="3">
        <v>125</v>
      </c>
      <c r="C22" s="3">
        <v>69</v>
      </c>
      <c r="D22" s="3">
        <v>0</v>
      </c>
      <c r="E22" s="3">
        <f xml:space="preserve"> SUM(C22,D22)</f>
        <v>69</v>
      </c>
      <c r="F22" s="5">
        <f xml:space="preserve"> B22/E22</f>
        <v>1.8115942028985508</v>
      </c>
    </row>
    <row r="23" spans="1:10" x14ac:dyDescent="0.2">
      <c r="A23" s="3" t="s">
        <v>29</v>
      </c>
      <c r="B23" s="3">
        <v>96</v>
      </c>
      <c r="C23" s="3">
        <v>78</v>
      </c>
      <c r="D23" s="3">
        <v>0</v>
      </c>
      <c r="E23" s="3">
        <f xml:space="preserve"> SUM(C23,D23)</f>
        <v>78</v>
      </c>
      <c r="F23" s="5">
        <f xml:space="preserve"> B23/E23</f>
        <v>1.2307692307692308</v>
      </c>
    </row>
    <row r="24" spans="1:10" x14ac:dyDescent="0.2">
      <c r="A24" s="3" t="s">
        <v>6</v>
      </c>
      <c r="B24" s="3">
        <v>208</v>
      </c>
      <c r="C24" s="3">
        <v>96</v>
      </c>
      <c r="D24" s="3">
        <v>4</v>
      </c>
      <c r="E24" s="3">
        <f xml:space="preserve"> SUM(C24,D24)</f>
        <v>100</v>
      </c>
      <c r="F24" s="5">
        <f xml:space="preserve"> B24/E24</f>
        <v>2.08</v>
      </c>
      <c r="H24" t="s">
        <v>55</v>
      </c>
    </row>
    <row r="25" spans="1:10" x14ac:dyDescent="0.2">
      <c r="A25" s="3" t="s">
        <v>4</v>
      </c>
      <c r="B25" s="3">
        <v>212</v>
      </c>
      <c r="C25" s="3">
        <v>84</v>
      </c>
      <c r="D25" s="3">
        <v>0</v>
      </c>
      <c r="E25" s="3">
        <f xml:space="preserve"> SUM(C25,D25)</f>
        <v>84</v>
      </c>
      <c r="F25" s="5">
        <f xml:space="preserve"> B25/E25</f>
        <v>2.5238095238095237</v>
      </c>
    </row>
    <row r="26" spans="1:10" x14ac:dyDescent="0.2">
      <c r="A26" s="3" t="s">
        <v>21</v>
      </c>
      <c r="B26" s="3">
        <v>127</v>
      </c>
      <c r="C26" s="3">
        <v>75</v>
      </c>
      <c r="D26" s="3">
        <v>0</v>
      </c>
      <c r="E26" s="3">
        <f xml:space="preserve"> SUM(C26,D26)</f>
        <v>75</v>
      </c>
      <c r="F26" s="5">
        <f xml:space="preserve"> B26/E26</f>
        <v>1.6933333333333334</v>
      </c>
    </row>
    <row r="27" spans="1:10" x14ac:dyDescent="0.2">
      <c r="A27" s="3" t="s">
        <v>33</v>
      </c>
      <c r="B27" s="3">
        <v>74</v>
      </c>
      <c r="C27" s="3">
        <v>71</v>
      </c>
      <c r="D27" s="3">
        <v>0</v>
      </c>
      <c r="E27" s="3">
        <f xml:space="preserve"> SUM(C27,D27)</f>
        <v>71</v>
      </c>
      <c r="F27" s="5">
        <f xml:space="preserve"> B27/E27</f>
        <v>1.0422535211267605</v>
      </c>
    </row>
    <row r="28" spans="1:10" x14ac:dyDescent="0.2">
      <c r="A28" s="3" t="s">
        <v>19</v>
      </c>
      <c r="B28" s="3">
        <v>132</v>
      </c>
      <c r="C28" s="3">
        <v>59</v>
      </c>
      <c r="D28" s="3">
        <v>0</v>
      </c>
      <c r="E28" s="3">
        <f xml:space="preserve"> SUM(C28,D28)</f>
        <v>59</v>
      </c>
      <c r="F28" s="5">
        <f xml:space="preserve"> B28/E28</f>
        <v>2.2372881355932202</v>
      </c>
    </row>
    <row r="29" spans="1:10" x14ac:dyDescent="0.2">
      <c r="A29" s="3" t="s">
        <v>15</v>
      </c>
      <c r="B29" s="3">
        <v>153</v>
      </c>
      <c r="C29" s="3">
        <v>47</v>
      </c>
      <c r="D29" s="3">
        <v>0</v>
      </c>
      <c r="E29" s="3">
        <f xml:space="preserve"> SUM(C29,D29)</f>
        <v>47</v>
      </c>
      <c r="F29" s="5">
        <f xml:space="preserve"> B29/E29</f>
        <v>3.2553191489361701</v>
      </c>
    </row>
    <row r="30" spans="1:10" hidden="1" x14ac:dyDescent="0.2">
      <c r="A30" s="3" t="s">
        <v>44</v>
      </c>
      <c r="B30" t="e">
        <f>AVERAGE(B29,#REF!)</f>
        <v>#REF!</v>
      </c>
      <c r="F30" s="11">
        <f xml:space="preserve"> AVERAGE(F29,F12)</f>
        <v>2.06272450953302</v>
      </c>
    </row>
    <row r="31" spans="1:10" hidden="1" x14ac:dyDescent="0.2">
      <c r="A31" s="3" t="s">
        <v>44</v>
      </c>
      <c r="B31" t="e">
        <f>AVERAGE(B30,B12)</f>
        <v>#REF!</v>
      </c>
    </row>
    <row r="32" spans="1:10" x14ac:dyDescent="0.2">
      <c r="A32" s="3" t="s">
        <v>16</v>
      </c>
      <c r="B32" s="3">
        <v>148</v>
      </c>
      <c r="C32" s="3">
        <v>101</v>
      </c>
      <c r="D32" s="3">
        <v>0</v>
      </c>
      <c r="E32" s="3">
        <f xml:space="preserve"> SUM(C32,D32)</f>
        <v>101</v>
      </c>
      <c r="F32" s="5">
        <f xml:space="preserve"> B32/E32</f>
        <v>1.4653465346534653</v>
      </c>
    </row>
    <row r="33" spans="1:6" x14ac:dyDescent="0.2">
      <c r="A33" s="3" t="s">
        <v>18</v>
      </c>
      <c r="B33" s="3">
        <v>135</v>
      </c>
      <c r="C33" s="3">
        <v>72</v>
      </c>
      <c r="D33" s="3">
        <v>0</v>
      </c>
      <c r="E33" s="3">
        <f xml:space="preserve"> SUM(C33,D33)</f>
        <v>72</v>
      </c>
      <c r="F33" s="5">
        <f xml:space="preserve"> B33/E33</f>
        <v>1.875</v>
      </c>
    </row>
    <row r="34" spans="1:6" x14ac:dyDescent="0.2">
      <c r="A34" s="3" t="s">
        <v>3</v>
      </c>
      <c r="B34" s="3">
        <v>222</v>
      </c>
      <c r="C34" s="3">
        <v>103</v>
      </c>
      <c r="D34" s="3">
        <v>5</v>
      </c>
      <c r="E34" s="3">
        <f xml:space="preserve"> SUM(C34,D34)</f>
        <v>108</v>
      </c>
      <c r="F34" s="5">
        <f xml:space="preserve"> B34/E34</f>
        <v>2.0555555555555554</v>
      </c>
    </row>
  </sheetData>
  <autoFilter ref="A1:A35" xr:uid="{5C041403-52A7-5C4B-A00A-6AA864774F16}">
    <filterColumn colId="0">
      <filters blank="1">
        <filter val="Angels"/>
        <filter val="Astros"/>
        <filter val="Athletics"/>
        <filter val="Blue Jays"/>
        <filter val="Braves"/>
        <filter val="Brewers"/>
        <filter val="Cardinals"/>
        <filter val="Cubs"/>
        <filter val="Diamondbacks"/>
        <filter val="Dodgers"/>
        <filter val="Giants"/>
        <filter val="Guardians"/>
        <filter val="Mariners"/>
        <filter val="Marlins"/>
        <filter val="Mets"/>
        <filter val="Nationals"/>
        <filter val="Orioles"/>
        <filter val="Padres"/>
        <filter val="Phillies"/>
        <filter val="Pirates"/>
        <filter val="Rangers"/>
        <filter val="Rays"/>
        <filter val="Red Sox"/>
        <filter val="Reds"/>
        <filter val="Rockies"/>
        <filter val="Royals"/>
        <filter val="Tigers"/>
        <filter val="Twins"/>
        <filter val="White sox"/>
        <filter val="Yankees"/>
      </filters>
    </filterColumn>
    <sortState xmlns:xlrd2="http://schemas.microsoft.com/office/spreadsheetml/2017/richdata2" ref="A2:F35">
      <sortCondition ref="A1:A35"/>
    </sortState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CA147-4896-1346-9685-E37488226AB3}">
  <dimension ref="A1:AF32"/>
  <sheetViews>
    <sheetView tabSelected="1" zoomScale="80" zoomScaleNormal="80" workbookViewId="0">
      <selection activeCell="Z35" sqref="Z35"/>
    </sheetView>
  </sheetViews>
  <sheetFormatPr baseColWidth="10" defaultRowHeight="16" x14ac:dyDescent="0.2"/>
  <cols>
    <col min="5" max="5" width="14.1640625" customWidth="1"/>
    <col min="6" max="6" width="13.83203125" customWidth="1"/>
    <col min="7" max="7" width="15.33203125" customWidth="1"/>
    <col min="12" max="18" width="12.6640625" bestFit="1" customWidth="1"/>
    <col min="19" max="19" width="24.83203125" customWidth="1"/>
    <col min="20" max="20" width="16.1640625" customWidth="1"/>
    <col min="21" max="21" width="16" customWidth="1"/>
    <col min="22" max="22" width="18" customWidth="1"/>
    <col min="31" max="31" width="21.6640625" customWidth="1"/>
    <col min="32" max="32" width="13.1640625" bestFit="1" customWidth="1"/>
  </cols>
  <sheetData>
    <row r="1" spans="1:32" ht="19" x14ac:dyDescent="0.25">
      <c r="A1" t="s">
        <v>48</v>
      </c>
      <c r="B1" t="s">
        <v>49</v>
      </c>
      <c r="C1" t="s">
        <v>50</v>
      </c>
      <c r="D1" t="s">
        <v>51</v>
      </c>
      <c r="E1" t="s">
        <v>52</v>
      </c>
      <c r="F1" t="s">
        <v>53</v>
      </c>
      <c r="G1" t="s">
        <v>54</v>
      </c>
      <c r="K1" s="21" t="s">
        <v>0</v>
      </c>
      <c r="L1" s="21">
        <v>2025</v>
      </c>
      <c r="M1" s="21">
        <v>2024</v>
      </c>
      <c r="N1" s="21">
        <v>2023</v>
      </c>
      <c r="O1" s="21">
        <v>2022</v>
      </c>
      <c r="P1" s="21">
        <v>2021</v>
      </c>
      <c r="Q1" s="21">
        <v>2020</v>
      </c>
      <c r="R1" s="21">
        <v>2019</v>
      </c>
      <c r="S1" s="21" t="s">
        <v>127</v>
      </c>
      <c r="T1" t="s">
        <v>66</v>
      </c>
      <c r="U1" t="s">
        <v>64</v>
      </c>
      <c r="V1" s="21" t="s">
        <v>67</v>
      </c>
      <c r="W1" s="21" t="s">
        <v>125</v>
      </c>
      <c r="X1" s="21" t="s">
        <v>129</v>
      </c>
      <c r="Y1" s="21" t="s">
        <v>130</v>
      </c>
      <c r="Z1" s="21" t="s">
        <v>131</v>
      </c>
      <c r="AA1" s="21" t="s">
        <v>132</v>
      </c>
      <c r="AB1" s="21" t="s">
        <v>133</v>
      </c>
      <c r="AC1" s="21" t="s">
        <v>134</v>
      </c>
      <c r="AD1" s="21" t="s">
        <v>135</v>
      </c>
      <c r="AE1" s="21" t="s">
        <v>137</v>
      </c>
      <c r="AF1" s="21" t="s">
        <v>138</v>
      </c>
    </row>
    <row r="2" spans="1:32" x14ac:dyDescent="0.2">
      <c r="A2">
        <v>2025</v>
      </c>
      <c r="B2">
        <v>2.14</v>
      </c>
      <c r="C2">
        <v>1.94</v>
      </c>
      <c r="D2" s="17">
        <v>3.81</v>
      </c>
      <c r="E2" s="13">
        <f>(D2/C2) - 1</f>
        <v>0.963917525773196</v>
      </c>
      <c r="F2" s="13">
        <f xml:space="preserve"> (D2/B2) -1</f>
        <v>0.78037383177570097</v>
      </c>
      <c r="G2" s="13">
        <f xml:space="preserve"> AVERAGE(E2,F2)</f>
        <v>0.87214567877444849</v>
      </c>
      <c r="K2" s="3" t="s">
        <v>25</v>
      </c>
      <c r="L2" s="13">
        <v>2.8611111111111112</v>
      </c>
      <c r="M2" s="13">
        <v>2.7936507936507935</v>
      </c>
      <c r="N2" s="13">
        <v>2.9452054794520546</v>
      </c>
      <c r="O2" s="13">
        <v>2.4657534246575343</v>
      </c>
      <c r="P2" s="13">
        <v>2.3636363636363638</v>
      </c>
      <c r="Q2" s="13">
        <v>6.884615384615385</v>
      </c>
      <c r="R2" s="13">
        <v>1.6388888888888888</v>
      </c>
      <c r="S2" s="23">
        <f>AVERAGE(L2:R2)</f>
        <v>3.1361230637160191</v>
      </c>
      <c r="T2" t="s">
        <v>69</v>
      </c>
      <c r="U2" t="s">
        <v>103</v>
      </c>
      <c r="V2" s="24" t="s">
        <v>123</v>
      </c>
      <c r="X2" s="3">
        <v>118</v>
      </c>
      <c r="Y2" s="3">
        <v>179</v>
      </c>
      <c r="Z2" s="3">
        <v>182</v>
      </c>
      <c r="AA2" s="3">
        <v>180</v>
      </c>
      <c r="AB2" s="3">
        <v>215</v>
      </c>
      <c r="AC2">
        <v>63</v>
      </c>
      <c r="AD2" s="3">
        <v>206</v>
      </c>
      <c r="AE2" s="10">
        <f xml:space="preserve"> AVERAGE(X2:AD2)</f>
        <v>163.28571428571428</v>
      </c>
      <c r="AF2" s="13">
        <f>(AD2-AVERAGE($A$2:$AD$100))/STDEV($A$2:$AD$100)</f>
        <v>0.45387028997698747</v>
      </c>
    </row>
    <row r="3" spans="1:32" x14ac:dyDescent="0.2">
      <c r="A3">
        <v>2024</v>
      </c>
      <c r="B3">
        <v>2.09</v>
      </c>
      <c r="C3">
        <v>2.15</v>
      </c>
      <c r="D3" s="15">
        <v>3.01</v>
      </c>
      <c r="E3" s="13">
        <f t="shared" ref="E3:E7" si="0">(D3/C3) - 1</f>
        <v>0.39999999999999991</v>
      </c>
      <c r="F3" s="13">
        <f t="shared" ref="F3:F8" si="1" xml:space="preserve"> (D3/B3) -1</f>
        <v>0.44019138755980869</v>
      </c>
      <c r="G3" s="13">
        <f t="shared" ref="G3:G8" si="2" xml:space="preserve"> AVERAGE(E3,F3)</f>
        <v>0.4200956937799043</v>
      </c>
      <c r="K3" s="3" t="s">
        <v>27</v>
      </c>
      <c r="L3" s="13">
        <v>2.5747126436781609</v>
      </c>
      <c r="M3" s="13">
        <v>2.7727272727272729</v>
      </c>
      <c r="N3" s="13">
        <v>2.09375</v>
      </c>
      <c r="O3" s="13">
        <v>1.5299145299145298</v>
      </c>
      <c r="P3" s="13">
        <v>1.8173076923076923</v>
      </c>
      <c r="Q3" s="13">
        <v>6.2647058823529411</v>
      </c>
      <c r="R3" s="13">
        <v>0.96581196581196582</v>
      </c>
      <c r="S3" s="23">
        <f t="shared" ref="S3:S31" si="3">AVERAGE(L3:R3)</f>
        <v>2.5741328552560803</v>
      </c>
      <c r="T3" t="s">
        <v>70</v>
      </c>
      <c r="U3" t="s">
        <v>105</v>
      </c>
      <c r="V3" s="24" t="s">
        <v>123</v>
      </c>
      <c r="W3" t="s">
        <v>126</v>
      </c>
      <c r="X3" s="3">
        <v>113</v>
      </c>
      <c r="Y3" s="3">
        <v>213</v>
      </c>
      <c r="Z3" s="3">
        <v>189</v>
      </c>
      <c r="AA3" s="6">
        <v>179</v>
      </c>
      <c r="AB3" s="3">
        <v>201</v>
      </c>
      <c r="AC3">
        <v>104</v>
      </c>
      <c r="AD3" s="3">
        <v>224</v>
      </c>
      <c r="AE3" s="10">
        <f t="shared" ref="AE3:AE31" si="4" xml:space="preserve"> AVERAGE(X3:AD3)</f>
        <v>174.71428571428572</v>
      </c>
      <c r="AF3" s="13">
        <f t="shared" ref="AF3:AF31" si="5">(AD3-AVERAGE($A$2:$AD$100))/STDEV($A$2:$AD$100)</f>
        <v>0.52715533047439478</v>
      </c>
    </row>
    <row r="4" spans="1:32" x14ac:dyDescent="0.2">
      <c r="A4">
        <v>2023</v>
      </c>
      <c r="B4">
        <v>2.0299999999999998</v>
      </c>
      <c r="C4">
        <v>2.06</v>
      </c>
      <c r="D4" s="15">
        <v>2.08</v>
      </c>
      <c r="E4" s="13">
        <f t="shared" si="0"/>
        <v>9.7087378640776656E-3</v>
      </c>
      <c r="F4" s="13">
        <f t="shared" si="1"/>
        <v>2.4630541871921263E-2</v>
      </c>
      <c r="G4" s="13">
        <f t="shared" si="2"/>
        <v>1.7169639867999464E-2</v>
      </c>
      <c r="K4" s="3" t="s">
        <v>26</v>
      </c>
      <c r="L4" s="13">
        <v>1.0394736842105263</v>
      </c>
      <c r="M4" s="13">
        <v>0.91304347826086951</v>
      </c>
      <c r="N4" s="13">
        <v>1.18</v>
      </c>
      <c r="O4" s="13">
        <v>0.85</v>
      </c>
      <c r="P4" s="13">
        <v>1.0116279069767442</v>
      </c>
      <c r="Q4" s="13">
        <v>2.5897435897435899</v>
      </c>
      <c r="R4" s="13">
        <v>1.1958762886597938</v>
      </c>
      <c r="S4" s="23">
        <f t="shared" si="3"/>
        <v>1.2542521354073604</v>
      </c>
      <c r="T4" t="s">
        <v>71</v>
      </c>
      <c r="U4" t="s">
        <v>106</v>
      </c>
      <c r="V4" t="s">
        <v>124</v>
      </c>
      <c r="X4" s="3">
        <v>116</v>
      </c>
      <c r="Y4" s="3">
        <v>101</v>
      </c>
      <c r="Z4" s="3">
        <v>87</v>
      </c>
      <c r="AA4" s="3">
        <v>51</v>
      </c>
      <c r="AB4" s="3">
        <v>59</v>
      </c>
      <c r="AC4">
        <v>88</v>
      </c>
      <c r="AD4" s="3">
        <v>79</v>
      </c>
      <c r="AE4" s="10">
        <f t="shared" si="4"/>
        <v>83</v>
      </c>
      <c r="AF4" s="13">
        <f t="shared" si="5"/>
        <v>-6.3196384643608494E-2</v>
      </c>
    </row>
    <row r="5" spans="1:32" x14ac:dyDescent="0.2">
      <c r="A5">
        <v>2022</v>
      </c>
      <c r="B5">
        <v>1.79</v>
      </c>
      <c r="C5">
        <v>1.85</v>
      </c>
      <c r="D5" s="18">
        <v>1.53</v>
      </c>
      <c r="E5" s="13">
        <f t="shared" si="0"/>
        <v>-0.17297297297297298</v>
      </c>
      <c r="F5" s="13">
        <f t="shared" si="1"/>
        <v>-0.14525139664804465</v>
      </c>
      <c r="G5" s="13">
        <f t="shared" si="2"/>
        <v>-0.15911218481050882</v>
      </c>
      <c r="K5" s="3" t="s">
        <v>5</v>
      </c>
      <c r="L5" s="13">
        <v>2.4807692307692308</v>
      </c>
      <c r="M5" s="13">
        <v>2.9324324324324325</v>
      </c>
      <c r="N5" s="13">
        <v>2.4157303370786516</v>
      </c>
      <c r="O5" s="13">
        <v>1.9021739130434783</v>
      </c>
      <c r="P5" s="13">
        <v>1.6153846153846154</v>
      </c>
      <c r="Q5" s="13">
        <v>3.6875</v>
      </c>
      <c r="R5" s="13">
        <v>3.1343283582089554</v>
      </c>
      <c r="S5" s="23">
        <f t="shared" si="3"/>
        <v>2.5954741267024803</v>
      </c>
      <c r="T5" t="s">
        <v>72</v>
      </c>
      <c r="U5" t="s">
        <v>98</v>
      </c>
      <c r="V5" t="s">
        <v>124</v>
      </c>
      <c r="X5" s="3">
        <v>210</v>
      </c>
      <c r="Y5" s="3">
        <v>118</v>
      </c>
      <c r="Z5" s="3">
        <v>147</v>
      </c>
      <c r="AA5" s="3">
        <v>175</v>
      </c>
      <c r="AB5" s="3">
        <v>215</v>
      </c>
      <c r="AC5">
        <v>103</v>
      </c>
      <c r="AD5" s="8">
        <v>258</v>
      </c>
      <c r="AE5" s="10">
        <f t="shared" si="4"/>
        <v>175.14285714285714</v>
      </c>
      <c r="AF5" s="13">
        <f t="shared" si="5"/>
        <v>0.66558262919171973</v>
      </c>
    </row>
    <row r="6" spans="1:32" x14ac:dyDescent="0.2">
      <c r="A6">
        <v>2021</v>
      </c>
      <c r="B6">
        <v>1.62</v>
      </c>
      <c r="C6">
        <v>1.62</v>
      </c>
      <c r="D6" s="18">
        <v>1.47</v>
      </c>
      <c r="E6" s="13">
        <f t="shared" si="0"/>
        <v>-9.2592592592592671E-2</v>
      </c>
      <c r="F6" s="13">
        <f t="shared" si="1"/>
        <v>-9.2592592592592671E-2</v>
      </c>
      <c r="G6" s="13">
        <f t="shared" si="2"/>
        <v>-9.2592592592592671E-2</v>
      </c>
      <c r="K6" s="3" t="s">
        <v>7</v>
      </c>
      <c r="L6" s="13">
        <v>2.8289473684210527</v>
      </c>
      <c r="M6" s="13">
        <v>2.606741573033708</v>
      </c>
      <c r="N6" s="13">
        <v>1.9523809523809523</v>
      </c>
      <c r="O6" s="13">
        <v>1.8333333333333333</v>
      </c>
      <c r="P6" s="13">
        <v>1.4747474747474747</v>
      </c>
      <c r="Q6" s="13">
        <v>3.8139534883720931</v>
      </c>
      <c r="R6" s="13">
        <v>1.8787878787878789</v>
      </c>
      <c r="S6" s="23">
        <f t="shared" si="3"/>
        <v>2.3412702955823557</v>
      </c>
      <c r="T6" t="s">
        <v>73</v>
      </c>
      <c r="U6" t="s">
        <v>107</v>
      </c>
      <c r="V6" s="24" t="s">
        <v>123</v>
      </c>
      <c r="W6" t="s">
        <v>126</v>
      </c>
      <c r="X6" s="3">
        <v>186</v>
      </c>
      <c r="Y6" s="3">
        <v>164</v>
      </c>
      <c r="Z6" s="6">
        <v>146</v>
      </c>
      <c r="AA6" s="3">
        <v>187</v>
      </c>
      <c r="AB6" s="3">
        <v>205</v>
      </c>
      <c r="AC6">
        <v>87</v>
      </c>
      <c r="AD6" s="3">
        <v>215</v>
      </c>
      <c r="AE6" s="10">
        <f t="shared" si="4"/>
        <v>170</v>
      </c>
      <c r="AF6" s="13">
        <f t="shared" si="5"/>
        <v>0.49051281022569115</v>
      </c>
    </row>
    <row r="7" spans="1:32" x14ac:dyDescent="0.2">
      <c r="A7">
        <v>2020</v>
      </c>
      <c r="B7">
        <v>4.62</v>
      </c>
      <c r="C7">
        <v>4.55</v>
      </c>
      <c r="D7" s="18">
        <v>3.96</v>
      </c>
      <c r="E7" s="13">
        <f t="shared" si="0"/>
        <v>-0.12967032967032965</v>
      </c>
      <c r="F7" s="13">
        <f t="shared" si="1"/>
        <v>-0.1428571428571429</v>
      </c>
      <c r="G7" s="13">
        <f t="shared" si="2"/>
        <v>-0.13626373626373628</v>
      </c>
      <c r="K7" s="3" t="s">
        <v>22</v>
      </c>
      <c r="L7" s="13">
        <v>1.24</v>
      </c>
      <c r="M7" s="13">
        <v>1.2340425531914894</v>
      </c>
      <c r="N7" s="13">
        <v>1.3695652173913044</v>
      </c>
      <c r="O7" s="13">
        <v>1.6046511627906976</v>
      </c>
      <c r="P7" s="13">
        <v>1.0729166666666667</v>
      </c>
      <c r="Q7" s="13">
        <v>3.3448275862068964</v>
      </c>
      <c r="R7" s="13">
        <v>1.404494382022472</v>
      </c>
      <c r="S7" s="23">
        <f t="shared" si="3"/>
        <v>1.610071081181361</v>
      </c>
      <c r="T7" t="s">
        <v>74</v>
      </c>
      <c r="U7" t="s">
        <v>108</v>
      </c>
      <c r="V7" s="24" t="s">
        <v>123</v>
      </c>
      <c r="X7" s="3">
        <v>125</v>
      </c>
      <c r="Y7" s="3">
        <v>97</v>
      </c>
      <c r="Z7" s="3">
        <v>103</v>
      </c>
      <c r="AA7" s="3">
        <v>138</v>
      </c>
      <c r="AB7" s="3">
        <v>126</v>
      </c>
      <c r="AC7">
        <v>104</v>
      </c>
      <c r="AD7" s="8">
        <v>124</v>
      </c>
      <c r="AE7" s="10">
        <f t="shared" si="4"/>
        <v>116.71428571428571</v>
      </c>
      <c r="AF7" s="13">
        <f t="shared" si="5"/>
        <v>0.12001621659990977</v>
      </c>
    </row>
    <row r="8" spans="1:32" x14ac:dyDescent="0.2">
      <c r="A8">
        <v>2019</v>
      </c>
      <c r="B8">
        <v>1.81</v>
      </c>
      <c r="C8" s="11">
        <v>1.72</v>
      </c>
      <c r="D8" s="18">
        <v>1.53</v>
      </c>
      <c r="E8" s="13">
        <f>(D8/C8) - 1</f>
        <v>-0.11046511627906974</v>
      </c>
      <c r="F8" s="13">
        <f t="shared" si="1"/>
        <v>-0.15469613259668513</v>
      </c>
      <c r="G8" s="13">
        <f t="shared" si="2"/>
        <v>-0.13258062443787744</v>
      </c>
      <c r="K8" s="3" t="s">
        <v>24</v>
      </c>
      <c r="L8" s="13">
        <v>1.8461538461538463</v>
      </c>
      <c r="M8" s="13">
        <v>2.2048192771084336</v>
      </c>
      <c r="N8" s="13">
        <v>2.507042253521127</v>
      </c>
      <c r="O8" s="13">
        <v>1.7526881720430108</v>
      </c>
      <c r="P8" s="13">
        <v>1.8666666666666667</v>
      </c>
      <c r="Q8" s="13">
        <v>5.419354838709677</v>
      </c>
      <c r="R8" s="13">
        <v>1.3626373626373627</v>
      </c>
      <c r="S8" s="23">
        <f t="shared" si="3"/>
        <v>2.4227660595485889</v>
      </c>
      <c r="T8" t="s">
        <v>75</v>
      </c>
      <c r="U8" t="s">
        <v>109</v>
      </c>
      <c r="V8" t="s">
        <v>124</v>
      </c>
      <c r="X8" s="3">
        <v>124</v>
      </c>
      <c r="Y8" s="3">
        <v>168</v>
      </c>
      <c r="Z8" s="3">
        <v>168</v>
      </c>
      <c r="AA8" s="3">
        <v>163</v>
      </c>
      <c r="AB8" s="3">
        <v>178</v>
      </c>
      <c r="AC8">
        <v>116</v>
      </c>
      <c r="AD8" s="3">
        <v>144</v>
      </c>
      <c r="AE8" s="10">
        <f t="shared" si="4"/>
        <v>151.57142857142858</v>
      </c>
      <c r="AF8" s="13">
        <f t="shared" si="5"/>
        <v>0.20144403937480679</v>
      </c>
    </row>
    <row r="9" spans="1:32" x14ac:dyDescent="0.2">
      <c r="K9" s="3" t="s">
        <v>20</v>
      </c>
      <c r="L9" s="13">
        <v>2.15625</v>
      </c>
      <c r="M9" s="13">
        <v>2.7469879518072289</v>
      </c>
      <c r="N9" s="13">
        <v>2.3132530120481927</v>
      </c>
      <c r="O9" s="13">
        <v>1.9864864864864864</v>
      </c>
      <c r="P9" s="13">
        <v>2.112676056338028</v>
      </c>
      <c r="Q9" s="13">
        <v>5.8529411764705879</v>
      </c>
      <c r="R9" s="13">
        <v>1.5714285714285714</v>
      </c>
      <c r="S9" s="23">
        <f t="shared" si="3"/>
        <v>2.6771461792255851</v>
      </c>
      <c r="T9" t="s">
        <v>76</v>
      </c>
      <c r="U9" t="s">
        <v>110</v>
      </c>
      <c r="V9" t="s">
        <v>124</v>
      </c>
      <c r="X9" s="3">
        <v>132</v>
      </c>
      <c r="Y9" s="3">
        <v>199</v>
      </c>
      <c r="Z9" s="3">
        <v>150</v>
      </c>
      <c r="AA9" s="3">
        <v>147</v>
      </c>
      <c r="AB9" s="3">
        <v>192</v>
      </c>
      <c r="AC9">
        <v>100</v>
      </c>
      <c r="AD9" s="8">
        <v>207</v>
      </c>
      <c r="AE9" s="10">
        <f t="shared" si="4"/>
        <v>161</v>
      </c>
      <c r="AF9" s="13">
        <f t="shared" si="5"/>
        <v>0.45794168111573236</v>
      </c>
    </row>
    <row r="10" spans="1:32" x14ac:dyDescent="0.2">
      <c r="K10" s="3" t="s">
        <v>31</v>
      </c>
      <c r="L10" s="13">
        <v>2.3875000000000002</v>
      </c>
      <c r="M10" s="13">
        <v>1.9438202247191012</v>
      </c>
      <c r="N10" s="13">
        <v>1.3191489361702127</v>
      </c>
      <c r="O10" s="13">
        <v>1.2567567567567568</v>
      </c>
      <c r="P10" s="13">
        <v>1.8269230769230769</v>
      </c>
      <c r="Q10" s="13">
        <v>4.4800000000000004</v>
      </c>
      <c r="R10" s="13">
        <v>1.0235294117647058</v>
      </c>
      <c r="S10" s="23">
        <f t="shared" si="3"/>
        <v>2.0339540580476934</v>
      </c>
      <c r="T10" t="s">
        <v>77</v>
      </c>
      <c r="U10" t="s">
        <v>111</v>
      </c>
      <c r="V10" s="24" t="s">
        <v>123</v>
      </c>
      <c r="X10" s="3">
        <v>87</v>
      </c>
      <c r="Y10" s="3">
        <v>112</v>
      </c>
      <c r="Z10" s="3">
        <v>95</v>
      </c>
      <c r="AA10" s="3">
        <v>93</v>
      </c>
      <c r="AB10" s="3">
        <v>124</v>
      </c>
      <c r="AC10">
        <v>114</v>
      </c>
      <c r="AD10" s="3">
        <v>191</v>
      </c>
      <c r="AE10" s="10">
        <f t="shared" si="4"/>
        <v>116.57142857142857</v>
      </c>
      <c r="AF10" s="13">
        <f t="shared" si="5"/>
        <v>0.39279942289581476</v>
      </c>
    </row>
    <row r="11" spans="1:32" x14ac:dyDescent="0.2">
      <c r="K11" s="3" t="s">
        <v>30</v>
      </c>
      <c r="L11" s="13">
        <v>3.8113207547169812</v>
      </c>
      <c r="M11" s="13">
        <v>3.0091743119266057</v>
      </c>
      <c r="N11" s="13">
        <v>2.36</v>
      </c>
      <c r="O11" s="13">
        <v>2.3392857142857144</v>
      </c>
      <c r="P11" s="13">
        <v>2.5535714285714284</v>
      </c>
      <c r="Q11" s="13">
        <v>3.9642857142857144</v>
      </c>
      <c r="R11" s="13">
        <v>0.87037037037037035</v>
      </c>
      <c r="S11" s="23">
        <f t="shared" si="3"/>
        <v>2.7011440420224022</v>
      </c>
      <c r="T11" t="s">
        <v>78</v>
      </c>
      <c r="U11" t="s">
        <v>99</v>
      </c>
      <c r="V11" s="24" t="s">
        <v>123</v>
      </c>
      <c r="W11" t="s">
        <v>126</v>
      </c>
      <c r="X11" s="3">
        <v>94</v>
      </c>
      <c r="Y11" s="6">
        <v>222</v>
      </c>
      <c r="Z11" s="3">
        <v>286</v>
      </c>
      <c r="AA11" s="3">
        <v>262</v>
      </c>
      <c r="AB11" s="3">
        <v>236</v>
      </c>
      <c r="AC11">
        <v>130</v>
      </c>
      <c r="AD11" s="6">
        <v>404</v>
      </c>
      <c r="AE11" s="10">
        <f t="shared" si="4"/>
        <v>233.42857142857142</v>
      </c>
      <c r="AF11" s="13">
        <f t="shared" si="5"/>
        <v>1.2600057354484677</v>
      </c>
    </row>
    <row r="12" spans="1:32" x14ac:dyDescent="0.2">
      <c r="G12" t="s">
        <v>60</v>
      </c>
      <c r="K12" s="3" t="s">
        <v>34</v>
      </c>
      <c r="L12" s="13">
        <v>2.2098765432098766</v>
      </c>
      <c r="M12" s="13">
        <v>2.5750000000000002</v>
      </c>
      <c r="N12" s="13">
        <v>2.4683544303797467</v>
      </c>
      <c r="O12" s="13">
        <v>2</v>
      </c>
      <c r="P12" s="13">
        <v>1.4862385321100917</v>
      </c>
      <c r="Q12" s="13">
        <v>4.8620689655172411</v>
      </c>
      <c r="R12" s="13">
        <v>0.87012987012987009</v>
      </c>
      <c r="S12" s="23">
        <f t="shared" si="3"/>
        <v>2.3530954773352604</v>
      </c>
      <c r="T12" t="s">
        <v>79</v>
      </c>
      <c r="U12" t="s">
        <v>102</v>
      </c>
      <c r="V12" t="s">
        <v>124</v>
      </c>
      <c r="X12" s="3">
        <v>67</v>
      </c>
      <c r="Y12" s="3">
        <v>141</v>
      </c>
      <c r="Z12" s="3">
        <v>162</v>
      </c>
      <c r="AA12" s="3">
        <v>162</v>
      </c>
      <c r="AB12" s="3">
        <v>195</v>
      </c>
      <c r="AC12">
        <v>144</v>
      </c>
      <c r="AD12" s="3">
        <v>179</v>
      </c>
      <c r="AE12" s="10">
        <f t="shared" si="4"/>
        <v>150</v>
      </c>
      <c r="AF12" s="13">
        <f t="shared" si="5"/>
        <v>0.34394272923087654</v>
      </c>
    </row>
    <row r="13" spans="1:32" x14ac:dyDescent="0.2">
      <c r="K13" s="3" t="s">
        <v>17</v>
      </c>
      <c r="L13" s="13">
        <v>1.146067415730337</v>
      </c>
      <c r="M13" s="13">
        <v>1.0833333333333333</v>
      </c>
      <c r="N13" s="13">
        <v>1.2894736842105263</v>
      </c>
      <c r="O13" s="13">
        <v>0.71875</v>
      </c>
      <c r="P13" s="13">
        <v>0.63749999999999996</v>
      </c>
      <c r="Q13" s="13">
        <v>2.8285714285714287</v>
      </c>
      <c r="R13" s="13">
        <v>1.4623655913978495</v>
      </c>
      <c r="S13" s="23">
        <f t="shared" si="3"/>
        <v>1.3094373504633536</v>
      </c>
      <c r="T13" t="s">
        <v>80</v>
      </c>
      <c r="U13" t="s">
        <v>112</v>
      </c>
      <c r="V13" t="s">
        <v>124</v>
      </c>
      <c r="X13" s="3">
        <v>136</v>
      </c>
      <c r="Y13" s="3">
        <v>99</v>
      </c>
      <c r="Z13" s="3">
        <v>51</v>
      </c>
      <c r="AA13" s="3">
        <v>69</v>
      </c>
      <c r="AB13" s="3">
        <v>98</v>
      </c>
      <c r="AC13">
        <v>106</v>
      </c>
      <c r="AD13" s="8">
        <v>102</v>
      </c>
      <c r="AE13" s="10">
        <f t="shared" si="4"/>
        <v>94.428571428571431</v>
      </c>
      <c r="AF13" s="13">
        <f t="shared" si="5"/>
        <v>3.0445611547523066E-2</v>
      </c>
    </row>
    <row r="14" spans="1:32" x14ac:dyDescent="0.2">
      <c r="K14" s="3" t="s">
        <v>28</v>
      </c>
      <c r="L14" s="13">
        <v>1.7395833333333333</v>
      </c>
      <c r="M14" s="13">
        <v>1.6941176470588235</v>
      </c>
      <c r="N14" s="13">
        <v>1.5909090909090908</v>
      </c>
      <c r="O14" s="13">
        <v>1.2826086956521738</v>
      </c>
      <c r="P14" s="13">
        <v>0.96666666666666667</v>
      </c>
      <c r="Q14" s="13">
        <v>3.5925925925925926</v>
      </c>
      <c r="R14" s="13">
        <v>1.5441176470588236</v>
      </c>
      <c r="S14" s="23">
        <f t="shared" si="3"/>
        <v>1.7729422390387863</v>
      </c>
      <c r="T14" t="s">
        <v>81</v>
      </c>
      <c r="U14" t="s">
        <v>105</v>
      </c>
      <c r="V14" s="24" t="s">
        <v>123</v>
      </c>
      <c r="X14" s="3">
        <v>105</v>
      </c>
      <c r="Y14" s="3">
        <v>97</v>
      </c>
      <c r="Z14" s="3">
        <v>87</v>
      </c>
      <c r="AA14" s="3">
        <v>118</v>
      </c>
      <c r="AB14" s="3">
        <v>140</v>
      </c>
      <c r="AC14">
        <v>172</v>
      </c>
      <c r="AD14" s="8">
        <v>167</v>
      </c>
      <c r="AE14" s="10">
        <f t="shared" si="4"/>
        <v>126.57142857142857</v>
      </c>
      <c r="AF14" s="13">
        <f t="shared" si="5"/>
        <v>0.29508603556593832</v>
      </c>
    </row>
    <row r="15" spans="1:32" x14ac:dyDescent="0.2">
      <c r="K15" s="3" t="s">
        <v>10</v>
      </c>
      <c r="L15" s="13">
        <v>0.88607594936708856</v>
      </c>
      <c r="M15" s="13">
        <v>1.7096774193548387</v>
      </c>
      <c r="N15" s="13">
        <v>1.3095238095238095</v>
      </c>
      <c r="O15" s="13">
        <v>1.2173913043478262</v>
      </c>
      <c r="P15" s="13">
        <v>0.94029850746268662</v>
      </c>
      <c r="Q15" s="13">
        <v>2.2727272727272729</v>
      </c>
      <c r="R15" s="13">
        <v>2.9298245614035086</v>
      </c>
      <c r="S15" s="23">
        <f t="shared" si="3"/>
        <v>1.6093598320267188</v>
      </c>
      <c r="T15" t="s">
        <v>82</v>
      </c>
      <c r="U15" t="s">
        <v>113</v>
      </c>
      <c r="V15" s="24" t="s">
        <v>123</v>
      </c>
      <c r="X15" s="3">
        <v>167</v>
      </c>
      <c r="Y15" s="3">
        <v>75</v>
      </c>
      <c r="Z15" s="3">
        <v>63</v>
      </c>
      <c r="AA15" s="3">
        <v>84</v>
      </c>
      <c r="AB15" s="3">
        <v>110</v>
      </c>
      <c r="AC15">
        <v>130</v>
      </c>
      <c r="AD15" s="3">
        <v>70</v>
      </c>
      <c r="AE15" s="10">
        <f t="shared" si="4"/>
        <v>99.857142857142861</v>
      </c>
      <c r="AF15" s="13">
        <f t="shared" si="5"/>
        <v>-9.9838904892312147E-2</v>
      </c>
    </row>
    <row r="16" spans="1:32" x14ac:dyDescent="0.2">
      <c r="K16" s="3" t="s">
        <v>8</v>
      </c>
      <c r="L16" s="13">
        <v>4.1084337349397586</v>
      </c>
      <c r="M16" s="13">
        <v>3.5</v>
      </c>
      <c r="N16" s="13">
        <v>4.6133333333333333</v>
      </c>
      <c r="O16" s="13">
        <v>2.7745098039215685</v>
      </c>
      <c r="P16" s="13">
        <v>2.6493506493506493</v>
      </c>
      <c r="Q16" s="13">
        <v>6.5384615384615383</v>
      </c>
      <c r="R16" s="13">
        <v>2.0232558139534884</v>
      </c>
      <c r="S16" s="23">
        <f t="shared" si="3"/>
        <v>3.7439064105657627</v>
      </c>
      <c r="T16" t="s">
        <v>68</v>
      </c>
      <c r="U16" t="s">
        <v>65</v>
      </c>
      <c r="V16" s="24" t="s">
        <v>123</v>
      </c>
      <c r="X16" s="3">
        <v>174</v>
      </c>
      <c r="Y16" s="3">
        <v>170</v>
      </c>
      <c r="Z16" s="3">
        <v>204</v>
      </c>
      <c r="AA16" s="3">
        <v>283</v>
      </c>
      <c r="AB16" s="3">
        <v>346</v>
      </c>
      <c r="AC16">
        <v>173</v>
      </c>
      <c r="AD16" s="3">
        <v>341</v>
      </c>
      <c r="AE16" s="10">
        <f t="shared" si="4"/>
        <v>241.57142857142858</v>
      </c>
      <c r="AF16" s="13">
        <f t="shared" si="5"/>
        <v>1.0035080937075422</v>
      </c>
    </row>
    <row r="17" spans="11:32" x14ac:dyDescent="0.2">
      <c r="K17" s="22" t="s">
        <v>11</v>
      </c>
      <c r="L17" s="13">
        <v>1.7878787878787878</v>
      </c>
      <c r="M17" s="13">
        <v>1.8309859154929577</v>
      </c>
      <c r="N17" s="13">
        <v>1.5352112676056338</v>
      </c>
      <c r="O17" s="13">
        <v>2.4363636363636365</v>
      </c>
      <c r="P17" s="13">
        <v>2.4923076923076923</v>
      </c>
      <c r="Q17" s="13">
        <v>7</v>
      </c>
      <c r="R17" s="13">
        <v>1.5333333333333334</v>
      </c>
      <c r="S17" s="23">
        <f t="shared" si="3"/>
        <v>2.6594400904260063</v>
      </c>
      <c r="T17" t="s">
        <v>83</v>
      </c>
      <c r="U17" t="s">
        <v>100</v>
      </c>
      <c r="V17" t="s">
        <v>124</v>
      </c>
      <c r="W17" t="s">
        <v>126</v>
      </c>
      <c r="X17" s="20">
        <v>161</v>
      </c>
      <c r="Y17" s="3">
        <v>182</v>
      </c>
      <c r="Z17" s="3">
        <v>162</v>
      </c>
      <c r="AA17" s="3">
        <v>134</v>
      </c>
      <c r="AB17" s="3">
        <v>109</v>
      </c>
      <c r="AC17">
        <v>183</v>
      </c>
      <c r="AD17" s="3">
        <v>118</v>
      </c>
      <c r="AE17" s="10">
        <f t="shared" si="4"/>
        <v>149.85714285714286</v>
      </c>
      <c r="AF17" s="13">
        <f t="shared" si="5"/>
        <v>9.5587869767440672E-2</v>
      </c>
    </row>
    <row r="18" spans="11:32" x14ac:dyDescent="0.2">
      <c r="K18" s="3" t="s">
        <v>2</v>
      </c>
      <c r="L18" s="13">
        <v>2.2222222222222223</v>
      </c>
      <c r="M18" s="13">
        <v>1.1318681318681318</v>
      </c>
      <c r="N18" s="13">
        <v>0.65346534653465349</v>
      </c>
      <c r="O18" s="13">
        <v>0.75903614457831325</v>
      </c>
      <c r="P18" s="13">
        <v>1.2115384615384615</v>
      </c>
      <c r="Q18" s="13">
        <v>2.6</v>
      </c>
      <c r="R18" s="13">
        <v>4.4814814814814818</v>
      </c>
      <c r="S18" s="23">
        <f t="shared" si="3"/>
        <v>1.8656588268890377</v>
      </c>
      <c r="T18" t="s">
        <v>84</v>
      </c>
      <c r="U18" t="s">
        <v>104</v>
      </c>
      <c r="V18" s="24" t="s">
        <v>123</v>
      </c>
      <c r="X18" s="3">
        <v>242</v>
      </c>
      <c r="Y18" s="3">
        <v>65</v>
      </c>
      <c r="Z18" s="3">
        <v>63</v>
      </c>
      <c r="AA18" s="3">
        <v>63</v>
      </c>
      <c r="AB18" s="3">
        <v>66</v>
      </c>
      <c r="AC18">
        <v>184</v>
      </c>
      <c r="AD18" s="3">
        <v>160</v>
      </c>
      <c r="AE18" s="10">
        <f t="shared" si="4"/>
        <v>120.42857142857143</v>
      </c>
      <c r="AF18" s="13">
        <f t="shared" si="5"/>
        <v>0.26658629759472441</v>
      </c>
    </row>
    <row r="19" spans="11:32" x14ac:dyDescent="0.2">
      <c r="K19" s="3" t="s">
        <v>32</v>
      </c>
      <c r="L19" s="13">
        <v>2.3516483516483517</v>
      </c>
      <c r="M19" s="13">
        <v>1.7731958762886597</v>
      </c>
      <c r="N19" s="13">
        <v>3.1097560975609757</v>
      </c>
      <c r="O19" s="13">
        <v>2.2526315789473683</v>
      </c>
      <c r="P19" s="13">
        <v>2.2025316455696204</v>
      </c>
      <c r="Q19" s="13">
        <v>4.0256410256410255</v>
      </c>
      <c r="R19" s="13">
        <v>1.0129870129870129</v>
      </c>
      <c r="S19" s="23">
        <f t="shared" si="3"/>
        <v>2.3897702269490018</v>
      </c>
      <c r="T19" t="s">
        <v>85</v>
      </c>
      <c r="U19" t="s">
        <v>114</v>
      </c>
      <c r="V19" t="s">
        <v>124</v>
      </c>
      <c r="X19" s="3">
        <v>78</v>
      </c>
      <c r="Y19" s="3">
        <v>157</v>
      </c>
      <c r="Z19" s="3">
        <v>174</v>
      </c>
      <c r="AA19" s="3">
        <v>214</v>
      </c>
      <c r="AB19" s="3">
        <v>255</v>
      </c>
      <c r="AC19">
        <v>147</v>
      </c>
      <c r="AD19" s="8">
        <v>214</v>
      </c>
      <c r="AE19" s="10">
        <f t="shared" si="4"/>
        <v>177</v>
      </c>
      <c r="AF19" s="13">
        <f t="shared" si="5"/>
        <v>0.48644141908694627</v>
      </c>
    </row>
    <row r="20" spans="11:32" x14ac:dyDescent="0.2">
      <c r="K20" s="3" t="s">
        <v>9</v>
      </c>
      <c r="L20" s="13">
        <v>3.0103092783505154</v>
      </c>
      <c r="M20" s="13">
        <v>2.5833333333333335</v>
      </c>
      <c r="N20" s="13">
        <v>2.5204081632653059</v>
      </c>
      <c r="O20" s="13">
        <v>2.4795918367346941</v>
      </c>
      <c r="P20" s="13">
        <v>2.4146341463414633</v>
      </c>
      <c r="Q20" s="13">
        <v>6.6785714285714288</v>
      </c>
      <c r="R20" s="13">
        <v>2.1111111111111112</v>
      </c>
      <c r="S20" s="23">
        <f t="shared" si="3"/>
        <v>3.113994185386836</v>
      </c>
      <c r="T20" t="s">
        <v>86</v>
      </c>
      <c r="U20" t="s">
        <v>115</v>
      </c>
      <c r="V20" t="s">
        <v>124</v>
      </c>
      <c r="X20" s="3">
        <v>171</v>
      </c>
      <c r="Y20" s="3">
        <v>187</v>
      </c>
      <c r="Z20" s="3">
        <v>198</v>
      </c>
      <c r="AA20" s="3">
        <v>243</v>
      </c>
      <c r="AB20" s="3">
        <v>247</v>
      </c>
      <c r="AC20">
        <v>206</v>
      </c>
      <c r="AD20" s="8">
        <v>292</v>
      </c>
      <c r="AE20" s="10">
        <f t="shared" si="4"/>
        <v>220.57142857142858</v>
      </c>
      <c r="AF20" s="13">
        <f t="shared" si="5"/>
        <v>0.80400992790904457</v>
      </c>
    </row>
    <row r="21" spans="11:32" x14ac:dyDescent="0.2">
      <c r="K21" s="3" t="s">
        <v>23</v>
      </c>
      <c r="L21" s="13">
        <v>1.2253521126760563</v>
      </c>
      <c r="M21" s="13">
        <v>1.1447368421052631</v>
      </c>
      <c r="N21" s="13">
        <v>0.92105263157894735</v>
      </c>
      <c r="O21" s="13">
        <v>0.95161290322580649</v>
      </c>
      <c r="P21" s="13">
        <v>0.78688524590163933</v>
      </c>
      <c r="Q21" s="13">
        <v>3.3157894736842106</v>
      </c>
      <c r="R21" s="13">
        <v>1.8115942028985508</v>
      </c>
      <c r="S21" s="23">
        <f t="shared" si="3"/>
        <v>1.451003344581496</v>
      </c>
      <c r="T21" t="s">
        <v>87</v>
      </c>
      <c r="U21" t="s">
        <v>116</v>
      </c>
      <c r="V21" t="s">
        <v>124</v>
      </c>
      <c r="X21" s="3">
        <v>125</v>
      </c>
      <c r="Y21" s="3">
        <v>63</v>
      </c>
      <c r="Z21" s="3">
        <v>48</v>
      </c>
      <c r="AA21" s="3">
        <v>59</v>
      </c>
      <c r="AB21" s="3">
        <v>70</v>
      </c>
      <c r="AC21">
        <v>248</v>
      </c>
      <c r="AD21" s="3">
        <v>87</v>
      </c>
      <c r="AE21" s="10">
        <f t="shared" si="4"/>
        <v>100</v>
      </c>
      <c r="AF21" s="13">
        <f t="shared" si="5"/>
        <v>-3.0625255533649687E-2</v>
      </c>
    </row>
    <row r="22" spans="11:32" x14ac:dyDescent="0.2">
      <c r="K22" s="3" t="s">
        <v>29</v>
      </c>
      <c r="L22" s="13">
        <v>2.7777777777777777</v>
      </c>
      <c r="M22" s="13">
        <v>2.9102564102564101</v>
      </c>
      <c r="N22" s="13">
        <v>2.0776699029126213</v>
      </c>
      <c r="O22" s="13">
        <v>2.1470588235294117</v>
      </c>
      <c r="P22" s="13">
        <v>1.6333333333333333</v>
      </c>
      <c r="Q22" s="13">
        <v>6.8636363636363633</v>
      </c>
      <c r="R22" s="13">
        <v>1.2307692307692308</v>
      </c>
      <c r="S22" s="23">
        <f t="shared" si="3"/>
        <v>2.805785977459307</v>
      </c>
      <c r="T22" t="s">
        <v>88</v>
      </c>
      <c r="U22" t="s">
        <v>117</v>
      </c>
      <c r="V22" s="24" t="s">
        <v>123</v>
      </c>
      <c r="W22" t="s">
        <v>126</v>
      </c>
      <c r="X22" s="3">
        <v>96</v>
      </c>
      <c r="Y22" s="3">
        <v>151</v>
      </c>
      <c r="Z22" s="3">
        <v>98</v>
      </c>
      <c r="AA22" s="3">
        <v>146</v>
      </c>
      <c r="AB22" s="6">
        <v>214</v>
      </c>
      <c r="AC22">
        <v>232</v>
      </c>
      <c r="AD22" s="3">
        <v>225</v>
      </c>
      <c r="AE22" s="10">
        <f t="shared" si="4"/>
        <v>166</v>
      </c>
      <c r="AF22" s="13">
        <f t="shared" si="5"/>
        <v>0.53122672161313966</v>
      </c>
    </row>
    <row r="23" spans="11:32" x14ac:dyDescent="0.2">
      <c r="K23" s="3" t="s">
        <v>6</v>
      </c>
      <c r="L23" s="13">
        <v>1.025974025974026</v>
      </c>
      <c r="M23" s="13">
        <v>1.1000000000000001</v>
      </c>
      <c r="N23" s="13">
        <v>0.77777777777777779</v>
      </c>
      <c r="O23" s="13">
        <v>0.98837209302325579</v>
      </c>
      <c r="P23" s="13">
        <v>0.70297029702970293</v>
      </c>
      <c r="Q23" s="13">
        <v>1.4509803921568627</v>
      </c>
      <c r="R23" s="13">
        <v>2.08</v>
      </c>
      <c r="S23" s="23">
        <f t="shared" si="3"/>
        <v>1.1608677979945179</v>
      </c>
      <c r="T23" t="s">
        <v>89</v>
      </c>
      <c r="U23" t="s">
        <v>118</v>
      </c>
      <c r="V23" s="24" t="s">
        <v>123</v>
      </c>
      <c r="X23" s="3">
        <v>208</v>
      </c>
      <c r="Y23" s="3">
        <v>74</v>
      </c>
      <c r="Z23" s="3">
        <v>71</v>
      </c>
      <c r="AA23" s="3">
        <v>85</v>
      </c>
      <c r="AB23" s="3">
        <v>77</v>
      </c>
      <c r="AC23">
        <v>228</v>
      </c>
      <c r="AD23" s="3">
        <v>79</v>
      </c>
      <c r="AE23" s="10">
        <f t="shared" si="4"/>
        <v>117.42857142857143</v>
      </c>
      <c r="AF23" s="13">
        <f t="shared" si="5"/>
        <v>-6.3196384643608494E-2</v>
      </c>
    </row>
    <row r="24" spans="11:32" x14ac:dyDescent="0.2">
      <c r="K24" s="3" t="s">
        <v>4</v>
      </c>
      <c r="L24" s="13">
        <v>2.3222222222222224</v>
      </c>
      <c r="M24" s="13">
        <v>2.2716049382716048</v>
      </c>
      <c r="N24" s="13">
        <v>2.5512820512820511</v>
      </c>
      <c r="O24" s="13">
        <v>2.4743589743589745</v>
      </c>
      <c r="P24" s="13">
        <v>1.9693877551020409</v>
      </c>
      <c r="Q24" s="13">
        <v>7.375</v>
      </c>
      <c r="R24" s="13">
        <v>2.5238095238095237</v>
      </c>
      <c r="S24" s="23">
        <f t="shared" si="3"/>
        <v>3.0696664950066315</v>
      </c>
      <c r="T24" t="s">
        <v>90</v>
      </c>
      <c r="U24" t="s">
        <v>101</v>
      </c>
      <c r="V24" s="24" t="s">
        <v>123</v>
      </c>
      <c r="X24" s="3">
        <v>212</v>
      </c>
      <c r="Y24" s="3">
        <v>177</v>
      </c>
      <c r="Z24" s="3">
        <v>193</v>
      </c>
      <c r="AA24" s="3">
        <v>193</v>
      </c>
      <c r="AB24" s="3">
        <v>199</v>
      </c>
      <c r="AC24">
        <v>244</v>
      </c>
      <c r="AD24" s="8">
        <v>209</v>
      </c>
      <c r="AE24" s="10">
        <f t="shared" si="4"/>
        <v>203.85714285714286</v>
      </c>
      <c r="AF24" s="13">
        <f t="shared" si="5"/>
        <v>0.46608446339322207</v>
      </c>
    </row>
    <row r="25" spans="11:32" x14ac:dyDescent="0.2">
      <c r="K25" s="3" t="s">
        <v>21</v>
      </c>
      <c r="L25" s="13">
        <v>1.4337349397590362</v>
      </c>
      <c r="M25" s="13">
        <v>1.2658227848101267</v>
      </c>
      <c r="N25" s="13">
        <v>1.0609756097560976</v>
      </c>
      <c r="O25" s="13">
        <v>1.7258064516129032</v>
      </c>
      <c r="P25" s="13">
        <v>1.5783132530120483</v>
      </c>
      <c r="Q25" s="13">
        <v>4.806451612903226</v>
      </c>
      <c r="R25" s="13">
        <v>1.6933333333333334</v>
      </c>
      <c r="S25" s="23">
        <f t="shared" si="3"/>
        <v>1.9377768550266816</v>
      </c>
      <c r="T25" t="s">
        <v>91</v>
      </c>
      <c r="U25" t="s">
        <v>119</v>
      </c>
      <c r="V25" t="s">
        <v>124</v>
      </c>
      <c r="X25" s="3">
        <v>127</v>
      </c>
      <c r="Y25" s="3">
        <v>149</v>
      </c>
      <c r="Z25" s="3">
        <v>131</v>
      </c>
      <c r="AA25" s="3">
        <v>107</v>
      </c>
      <c r="AB25" s="3">
        <v>87</v>
      </c>
      <c r="AC25">
        <v>176</v>
      </c>
      <c r="AD25" s="3">
        <v>119</v>
      </c>
      <c r="AE25" s="10">
        <f t="shared" si="4"/>
        <v>128</v>
      </c>
      <c r="AF25" s="13">
        <f t="shared" si="5"/>
        <v>9.9659260906185515E-2</v>
      </c>
    </row>
    <row r="26" spans="11:32" x14ac:dyDescent="0.2">
      <c r="K26" s="3" t="s">
        <v>33</v>
      </c>
      <c r="L26" s="13">
        <v>3</v>
      </c>
      <c r="M26" s="13">
        <v>2.4098360655737703</v>
      </c>
      <c r="N26" s="13">
        <v>2.9152542372881354</v>
      </c>
      <c r="O26" s="13">
        <v>2</v>
      </c>
      <c r="P26" s="13">
        <v>1.5945945945945945</v>
      </c>
      <c r="Q26" s="13">
        <v>5.615384615384615</v>
      </c>
      <c r="R26" s="13">
        <v>1.0422535211267605</v>
      </c>
      <c r="S26" s="23">
        <f t="shared" si="3"/>
        <v>2.6539032905668392</v>
      </c>
      <c r="T26" t="s">
        <v>92</v>
      </c>
      <c r="U26" t="s">
        <v>120</v>
      </c>
      <c r="V26" t="s">
        <v>124</v>
      </c>
      <c r="X26" s="3">
        <v>74</v>
      </c>
      <c r="Y26" s="3">
        <v>146</v>
      </c>
      <c r="Z26" s="3">
        <v>118</v>
      </c>
      <c r="AA26" s="3">
        <v>136</v>
      </c>
      <c r="AB26" s="3">
        <v>172</v>
      </c>
      <c r="AC26">
        <v>227</v>
      </c>
      <c r="AD26" s="3">
        <v>129</v>
      </c>
      <c r="AE26" s="10">
        <f t="shared" si="4"/>
        <v>143.14285714285714</v>
      </c>
      <c r="AF26" s="13">
        <f t="shared" si="5"/>
        <v>0.14037317229363402</v>
      </c>
    </row>
    <row r="27" spans="11:32" x14ac:dyDescent="0.2">
      <c r="K27" s="3" t="s">
        <v>19</v>
      </c>
      <c r="L27" s="13">
        <v>1.7073170731707317</v>
      </c>
      <c r="M27" s="13">
        <v>1.2808988764044944</v>
      </c>
      <c r="N27" s="13">
        <v>1.625</v>
      </c>
      <c r="O27" s="13">
        <v>1.3538461538461539</v>
      </c>
      <c r="P27" s="13">
        <v>1.2297297297297298</v>
      </c>
      <c r="Q27" s="13">
        <v>3.5</v>
      </c>
      <c r="R27" s="13">
        <v>2.2372881355932202</v>
      </c>
      <c r="S27" s="23">
        <f t="shared" si="3"/>
        <v>1.8477257098206186</v>
      </c>
      <c r="T27" t="s">
        <v>93</v>
      </c>
      <c r="U27" t="s">
        <v>121</v>
      </c>
      <c r="V27" s="24" t="s">
        <v>123</v>
      </c>
      <c r="X27" s="3">
        <v>132</v>
      </c>
      <c r="Y27" s="3">
        <v>91</v>
      </c>
      <c r="Z27" s="3">
        <v>91</v>
      </c>
      <c r="AA27" s="3">
        <v>88</v>
      </c>
      <c r="AB27" s="3">
        <v>91</v>
      </c>
      <c r="AC27">
        <v>217</v>
      </c>
      <c r="AD27" s="3">
        <v>140</v>
      </c>
      <c r="AE27" s="10">
        <f t="shared" si="4"/>
        <v>121.42857142857143</v>
      </c>
      <c r="AF27" s="13">
        <f t="shared" si="5"/>
        <v>0.18515847481982736</v>
      </c>
    </row>
    <row r="28" spans="11:32" x14ac:dyDescent="0.2">
      <c r="K28" s="3" t="s">
        <v>15</v>
      </c>
      <c r="L28" s="13">
        <v>1.7142857142857142</v>
      </c>
      <c r="M28" s="13">
        <v>1.1555555555555554</v>
      </c>
      <c r="N28" s="13">
        <v>1.5512820512820513</v>
      </c>
      <c r="O28" s="13">
        <v>1.9696969696969697</v>
      </c>
      <c r="P28" s="13">
        <v>1.1428571428571428</v>
      </c>
      <c r="Q28" s="13">
        <v>4.6521739130434785</v>
      </c>
      <c r="R28" s="13">
        <v>3.2553191489361701</v>
      </c>
      <c r="S28" s="23">
        <f t="shared" si="3"/>
        <v>2.2058814993795832</v>
      </c>
      <c r="T28" t="s">
        <v>94</v>
      </c>
      <c r="U28" t="s">
        <v>122</v>
      </c>
      <c r="V28" t="s">
        <v>124</v>
      </c>
      <c r="X28" s="3">
        <v>153</v>
      </c>
      <c r="Y28" s="3">
        <v>107</v>
      </c>
      <c r="Z28" s="3">
        <v>88</v>
      </c>
      <c r="AA28" s="3">
        <v>130</v>
      </c>
      <c r="AB28" s="3">
        <v>121</v>
      </c>
      <c r="AC28">
        <v>303</v>
      </c>
      <c r="AD28" s="8">
        <v>156</v>
      </c>
      <c r="AE28" s="10">
        <f t="shared" si="4"/>
        <v>151.14285714285714</v>
      </c>
      <c r="AF28" s="13">
        <f t="shared" si="5"/>
        <v>0.25030073303974498</v>
      </c>
    </row>
    <row r="29" spans="11:32" x14ac:dyDescent="0.2">
      <c r="K29" s="3" t="s">
        <v>16</v>
      </c>
      <c r="L29" s="13">
        <v>1.9571428571428571</v>
      </c>
      <c r="M29" s="13">
        <v>1.5853658536585367</v>
      </c>
      <c r="N29" s="13">
        <v>1.7555555555555555</v>
      </c>
      <c r="O29" s="13">
        <v>1.8076923076923077</v>
      </c>
      <c r="P29" s="13">
        <v>1.6712328767123288</v>
      </c>
      <c r="Q29" s="13">
        <v>3.6944444444444446</v>
      </c>
      <c r="R29" s="13">
        <v>1.4653465346534653</v>
      </c>
      <c r="S29" s="23">
        <f t="shared" si="3"/>
        <v>1.9909686328370706</v>
      </c>
      <c r="T29" t="s">
        <v>95</v>
      </c>
      <c r="U29" t="s">
        <v>117</v>
      </c>
      <c r="V29" t="s">
        <v>124</v>
      </c>
      <c r="X29" s="3">
        <v>148</v>
      </c>
      <c r="Y29" s="3">
        <v>133</v>
      </c>
      <c r="Z29" s="3">
        <v>122</v>
      </c>
      <c r="AA29" s="3">
        <v>141</v>
      </c>
      <c r="AB29" s="3">
        <v>158</v>
      </c>
      <c r="AC29" s="15">
        <v>328</v>
      </c>
      <c r="AD29" s="3">
        <v>137</v>
      </c>
      <c r="AE29" s="10">
        <f t="shared" si="4"/>
        <v>166.71428571428572</v>
      </c>
      <c r="AF29" s="13">
        <f t="shared" si="5"/>
        <v>0.17294430140359282</v>
      </c>
    </row>
    <row r="30" spans="11:32" x14ac:dyDescent="0.2">
      <c r="K30" s="3" t="s">
        <v>18</v>
      </c>
      <c r="L30" s="13">
        <v>1.4166666666666667</v>
      </c>
      <c r="M30" s="13">
        <v>3.6585365853658538</v>
      </c>
      <c r="N30" s="13">
        <v>2.901639344262295</v>
      </c>
      <c r="O30" s="13">
        <v>2.382716049382716</v>
      </c>
      <c r="P30" s="13">
        <v>1.4893617021276595</v>
      </c>
      <c r="Q30" s="13">
        <v>3.7777777777777777</v>
      </c>
      <c r="R30" s="13">
        <v>1.875</v>
      </c>
      <c r="S30" s="23">
        <f t="shared" si="3"/>
        <v>2.5002425893689955</v>
      </c>
      <c r="T30" t="s">
        <v>96</v>
      </c>
      <c r="U30" t="s">
        <v>110</v>
      </c>
      <c r="V30" s="24" t="s">
        <v>123</v>
      </c>
      <c r="X30" s="3">
        <v>135</v>
      </c>
      <c r="Y30" s="3">
        <v>136</v>
      </c>
      <c r="Z30" s="3">
        <v>140</v>
      </c>
      <c r="AA30" s="3">
        <v>193</v>
      </c>
      <c r="AB30" s="3">
        <v>177</v>
      </c>
      <c r="AC30">
        <v>336</v>
      </c>
      <c r="AD30" s="3">
        <v>85</v>
      </c>
      <c r="AE30" s="10">
        <f t="shared" si="4"/>
        <v>171.71428571428572</v>
      </c>
      <c r="AF30" s="13">
        <f t="shared" si="5"/>
        <v>-3.876803781113939E-2</v>
      </c>
    </row>
    <row r="31" spans="11:32" x14ac:dyDescent="0.2">
      <c r="K31" s="3" t="s">
        <v>3</v>
      </c>
      <c r="L31" s="13">
        <v>3.4022988505747125</v>
      </c>
      <c r="M31" s="13">
        <v>2.9705882352941178</v>
      </c>
      <c r="N31" s="13">
        <v>3.3414634146341462</v>
      </c>
      <c r="O31" s="13">
        <v>2.4411764705882355</v>
      </c>
      <c r="P31" s="13">
        <v>2.1847826086956523</v>
      </c>
      <c r="Q31" s="13">
        <v>6.756756756756757</v>
      </c>
      <c r="R31" s="13">
        <v>2.0555555555555554</v>
      </c>
      <c r="S31" s="23">
        <f t="shared" si="3"/>
        <v>3.3075174131570253</v>
      </c>
      <c r="T31" t="s">
        <v>97</v>
      </c>
      <c r="U31" t="s">
        <v>118</v>
      </c>
      <c r="V31" t="s">
        <v>124</v>
      </c>
      <c r="X31" s="3">
        <v>222</v>
      </c>
      <c r="Y31" s="3">
        <v>250</v>
      </c>
      <c r="Z31" s="3">
        <v>201</v>
      </c>
      <c r="AA31" s="3">
        <v>249</v>
      </c>
      <c r="AB31" s="3">
        <v>274</v>
      </c>
      <c r="AC31">
        <v>150</v>
      </c>
      <c r="AD31" s="8">
        <v>296</v>
      </c>
      <c r="AE31" s="10">
        <f t="shared" si="4"/>
        <v>234.57142857142858</v>
      </c>
      <c r="AF31" s="13">
        <f t="shared" si="5"/>
        <v>0.820295492464024</v>
      </c>
    </row>
    <row r="32" spans="11:32" x14ac:dyDescent="0.2">
      <c r="K32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91CC1-3998-104F-8831-631A7A4FDB27}">
  <dimension ref="J17:M50"/>
  <sheetViews>
    <sheetView workbookViewId="0">
      <selection activeCell="M17" sqref="M17:M48"/>
    </sheetView>
  </sheetViews>
  <sheetFormatPr baseColWidth="10" defaultRowHeight="16" x14ac:dyDescent="0.2"/>
  <sheetData>
    <row r="17" spans="10:13" x14ac:dyDescent="0.2">
      <c r="M17" t="s">
        <v>136</v>
      </c>
    </row>
    <row r="18" spans="10:13" x14ac:dyDescent="0.2">
      <c r="M18">
        <v>163.28571428571428</v>
      </c>
    </row>
    <row r="19" spans="10:13" x14ac:dyDescent="0.2">
      <c r="M19">
        <v>174.71428571428572</v>
      </c>
    </row>
    <row r="20" spans="10:13" ht="19" x14ac:dyDescent="0.25">
      <c r="J20" s="21" t="s">
        <v>136</v>
      </c>
      <c r="M20">
        <v>83</v>
      </c>
    </row>
    <row r="21" spans="10:13" x14ac:dyDescent="0.2">
      <c r="J21" s="10" t="e">
        <f xml:space="preserve"> AVERAGE(C21:I21)</f>
        <v>#DIV/0!</v>
      </c>
      <c r="M21">
        <v>175.14285714285714</v>
      </c>
    </row>
    <row r="22" spans="10:13" x14ac:dyDescent="0.2">
      <c r="J22" s="10" t="e">
        <f t="shared" ref="J22:J50" si="0" xml:space="preserve"> AVERAGE(C22:I22)</f>
        <v>#DIV/0!</v>
      </c>
      <c r="M22">
        <v>170</v>
      </c>
    </row>
    <row r="23" spans="10:13" x14ac:dyDescent="0.2">
      <c r="J23" s="10" t="e">
        <f t="shared" si="0"/>
        <v>#DIV/0!</v>
      </c>
      <c r="M23">
        <v>116.71428571428571</v>
      </c>
    </row>
    <row r="24" spans="10:13" x14ac:dyDescent="0.2">
      <c r="J24" s="10" t="e">
        <f t="shared" si="0"/>
        <v>#DIV/0!</v>
      </c>
      <c r="M24">
        <v>151.57142857142858</v>
      </c>
    </row>
    <row r="25" spans="10:13" x14ac:dyDescent="0.2">
      <c r="J25" s="10" t="e">
        <f t="shared" si="0"/>
        <v>#DIV/0!</v>
      </c>
      <c r="M25">
        <v>161</v>
      </c>
    </row>
    <row r="26" spans="10:13" x14ac:dyDescent="0.2">
      <c r="J26" s="10" t="e">
        <f t="shared" si="0"/>
        <v>#DIV/0!</v>
      </c>
      <c r="M26">
        <v>116.57142857142857</v>
      </c>
    </row>
    <row r="27" spans="10:13" x14ac:dyDescent="0.2">
      <c r="J27" s="10" t="e">
        <f t="shared" si="0"/>
        <v>#DIV/0!</v>
      </c>
      <c r="M27">
        <v>233.42857142857142</v>
      </c>
    </row>
    <row r="28" spans="10:13" x14ac:dyDescent="0.2">
      <c r="J28" s="10" t="e">
        <f t="shared" si="0"/>
        <v>#DIV/0!</v>
      </c>
      <c r="M28">
        <v>150</v>
      </c>
    </row>
    <row r="29" spans="10:13" x14ac:dyDescent="0.2">
      <c r="J29" s="10" t="e">
        <f t="shared" si="0"/>
        <v>#DIV/0!</v>
      </c>
      <c r="M29">
        <v>94.428571428571431</v>
      </c>
    </row>
    <row r="30" spans="10:13" x14ac:dyDescent="0.2">
      <c r="J30" s="10" t="e">
        <f t="shared" si="0"/>
        <v>#DIV/0!</v>
      </c>
      <c r="M30">
        <v>126.57142857142857</v>
      </c>
    </row>
    <row r="31" spans="10:13" x14ac:dyDescent="0.2">
      <c r="J31" s="10" t="e">
        <f t="shared" si="0"/>
        <v>#DIV/0!</v>
      </c>
      <c r="M31">
        <v>99.857142857142861</v>
      </c>
    </row>
    <row r="32" spans="10:13" x14ac:dyDescent="0.2">
      <c r="J32" s="10" t="e">
        <f t="shared" si="0"/>
        <v>#DIV/0!</v>
      </c>
      <c r="M32">
        <v>241.57142857142858</v>
      </c>
    </row>
    <row r="33" spans="10:13" x14ac:dyDescent="0.2">
      <c r="J33" s="10" t="e">
        <f t="shared" si="0"/>
        <v>#DIV/0!</v>
      </c>
      <c r="M33">
        <v>149.85714285714286</v>
      </c>
    </row>
    <row r="34" spans="10:13" x14ac:dyDescent="0.2">
      <c r="J34" s="10" t="e">
        <f t="shared" si="0"/>
        <v>#DIV/0!</v>
      </c>
      <c r="M34">
        <v>120.42857142857143</v>
      </c>
    </row>
    <row r="35" spans="10:13" x14ac:dyDescent="0.2">
      <c r="J35" s="10" t="e">
        <f t="shared" si="0"/>
        <v>#DIV/0!</v>
      </c>
      <c r="M35">
        <v>177</v>
      </c>
    </row>
    <row r="36" spans="10:13" x14ac:dyDescent="0.2">
      <c r="J36" s="10" t="e">
        <f t="shared" si="0"/>
        <v>#DIV/0!</v>
      </c>
      <c r="M36">
        <v>220.57142857142858</v>
      </c>
    </row>
    <row r="37" spans="10:13" x14ac:dyDescent="0.2">
      <c r="J37" s="10" t="e">
        <f t="shared" si="0"/>
        <v>#DIV/0!</v>
      </c>
      <c r="M37">
        <v>100</v>
      </c>
    </row>
    <row r="38" spans="10:13" x14ac:dyDescent="0.2">
      <c r="J38" s="10" t="e">
        <f t="shared" si="0"/>
        <v>#DIV/0!</v>
      </c>
      <c r="M38">
        <v>166</v>
      </c>
    </row>
    <row r="39" spans="10:13" x14ac:dyDescent="0.2">
      <c r="J39" s="10" t="e">
        <f t="shared" si="0"/>
        <v>#DIV/0!</v>
      </c>
      <c r="M39">
        <v>117.42857142857143</v>
      </c>
    </row>
    <row r="40" spans="10:13" x14ac:dyDescent="0.2">
      <c r="J40" s="10" t="e">
        <f t="shared" si="0"/>
        <v>#DIV/0!</v>
      </c>
      <c r="M40">
        <v>203.85714285714286</v>
      </c>
    </row>
    <row r="41" spans="10:13" x14ac:dyDescent="0.2">
      <c r="J41" s="10" t="e">
        <f t="shared" si="0"/>
        <v>#DIV/0!</v>
      </c>
      <c r="M41">
        <v>128</v>
      </c>
    </row>
    <row r="42" spans="10:13" x14ac:dyDescent="0.2">
      <c r="J42" s="10" t="e">
        <f t="shared" si="0"/>
        <v>#DIV/0!</v>
      </c>
      <c r="M42">
        <v>143.14285714285714</v>
      </c>
    </row>
    <row r="43" spans="10:13" x14ac:dyDescent="0.2">
      <c r="J43" s="10" t="e">
        <f t="shared" si="0"/>
        <v>#DIV/0!</v>
      </c>
      <c r="M43">
        <v>121.42857142857143</v>
      </c>
    </row>
    <row r="44" spans="10:13" x14ac:dyDescent="0.2">
      <c r="J44" s="10" t="e">
        <f t="shared" si="0"/>
        <v>#DIV/0!</v>
      </c>
      <c r="M44">
        <v>151.14285714285714</v>
      </c>
    </row>
    <row r="45" spans="10:13" x14ac:dyDescent="0.2">
      <c r="J45" s="10" t="e">
        <f t="shared" si="0"/>
        <v>#DIV/0!</v>
      </c>
      <c r="M45">
        <v>166.71428571428572</v>
      </c>
    </row>
    <row r="46" spans="10:13" x14ac:dyDescent="0.2">
      <c r="J46" s="10" t="e">
        <f t="shared" si="0"/>
        <v>#DIV/0!</v>
      </c>
      <c r="M46">
        <v>171.71428571428572</v>
      </c>
    </row>
    <row r="47" spans="10:13" x14ac:dyDescent="0.2">
      <c r="J47" s="10" t="e">
        <f t="shared" si="0"/>
        <v>#DIV/0!</v>
      </c>
      <c r="M47">
        <v>234.57142857142858</v>
      </c>
    </row>
    <row r="48" spans="10:13" x14ac:dyDescent="0.2">
      <c r="J48" s="10" t="e">
        <f t="shared" si="0"/>
        <v>#DIV/0!</v>
      </c>
    </row>
    <row r="49" spans="10:10" x14ac:dyDescent="0.2">
      <c r="J49" s="10" t="e">
        <f t="shared" si="0"/>
        <v>#DIV/0!</v>
      </c>
    </row>
    <row r="50" spans="10:10" x14ac:dyDescent="0.2">
      <c r="J50" s="10" t="e">
        <f t="shared" si="0"/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2025</vt:lpstr>
      <vt:lpstr>2024</vt:lpstr>
      <vt:lpstr>2023</vt:lpstr>
      <vt:lpstr>2022</vt:lpstr>
      <vt:lpstr>2021</vt:lpstr>
      <vt:lpstr>2020</vt:lpstr>
      <vt:lpstr>2019</vt:lpstr>
      <vt:lpstr>All data</vt:lpstr>
      <vt:lpstr>Sheet13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Mira-Knippel, Braxton Manuel</dc:creator>
  <cp:lastModifiedBy>Mira-Knippel, Braxton Manuel</cp:lastModifiedBy>
  <dcterms:created xsi:type="dcterms:W3CDTF">2026-03-12T14:00:48Z</dcterms:created>
  <dcterms:modified xsi:type="dcterms:W3CDTF">2026-04-13T01:03:31Z</dcterms:modified>
</cp:coreProperties>
</file>